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  <sheet name="Unit Mix Summary" sheetId="2" state="visible" r:id="rId2"/>
    <sheet name="Audit Tr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mm/dd/yyyy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vertical="top" wrapText="1"/>
    </xf>
    <xf numFmtId="49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49" fontId="3" fillId="3" borderId="0" pivotButton="0" quotePrefix="0" xfId="0"/>
    <xf numFmtId="3" fontId="3" fillId="3" borderId="0" pivotButton="0" quotePrefix="0" xfId="0"/>
    <xf numFmtId="0" fontId="5" fillId="4" borderId="0" pivotButton="0" quotePrefix="0" xfId="0"/>
    <xf numFmtId="0" fontId="2" fillId="0" borderId="0" applyAlignment="1" pivotButton="0" quotePrefix="0" xfId="0">
      <alignment vertical="top" wrapText="1"/>
    </xf>
    <xf numFmtId="167" fontId="4" fillId="0" borderId="0" pivotButton="0" quotePrefix="0" xfId="0"/>
    <xf numFmtId="0" fontId="0" fillId="0" borderId="0" applyAlignment="1" pivotButton="0" quotePrefix="0" xfId="0">
      <alignment vertical="top" wrapText="1"/>
    </xf>
    <xf numFmtId="49" fontId="6" fillId="0" borderId="0" pivotButton="0" quotePrefix="0" xfId="0"/>
    <xf numFmtId="49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Units by floor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 Mix Summary'!D8</f>
            </strRef>
          </tx>
          <spPr>
            <a:ln>
              <a:prstDash val="solid"/>
            </a:ln>
          </spPr>
          <cat>
            <numRef>
              <f>'Unit Mix Summary'!$B$9:$B$11</f>
            </numRef>
          </cat>
          <val>
            <numRef>
              <f>'Unit Mix Summary'!$D$9:$D$11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In-place vs new move-in vs market rent for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 Mix Summary'!E8</f>
            </strRef>
          </tx>
          <spPr>
            <a:ln>
              <a:prstDash val="solid"/>
            </a:ln>
          </spPr>
          <cat>
            <numRef>
              <f>'Unit Mix Summary'!$B$9:$B$11</f>
            </numRef>
          </cat>
          <val>
            <numRef>
              <f>'Unit Mix Summary'!$E$9:$E$11</f>
            </numRef>
          </val>
        </ser>
        <ser>
          <idx val="1"/>
          <order val="1"/>
          <tx>
            <strRef>
              <f>'Unit Mix Summary'!H8</f>
            </strRef>
          </tx>
          <spPr>
            <a:ln>
              <a:prstDash val="solid"/>
            </a:ln>
          </spPr>
          <cat>
            <numRef>
              <f>'Unit Mix Summary'!$B$9:$B$11</f>
            </numRef>
          </cat>
          <val>
            <numRef>
              <f>'Unit Mix Summary'!$H$9:$H$11</f>
            </numRef>
          </val>
        </ser>
        <ser>
          <idx val="2"/>
          <order val="2"/>
          <tx>
            <strRef>
              <f>'Unit Mix Summary'!J8</f>
            </strRef>
          </tx>
          <spPr>
            <a:ln>
              <a:prstDash val="solid"/>
            </a:ln>
          </spPr>
          <cat>
            <numRef>
              <f>'Unit Mix Summary'!$B$9:$B$11</f>
            </numRef>
          </cat>
          <val>
            <numRef>
              <f>'Unit Mix Summary'!$J$9:$J$11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Rent roll</t>
        </is>
      </c>
    </row>
    <row r="2">
      <c r="A2" s="2" t="inlineStr">
        <is>
          <t>Wildflower Crossing — as of 2025-11-12</t>
        </is>
      </c>
    </row>
    <row r="3">
      <c r="A3" s="2" t="inlineStr">
        <is>
          <t>Unit identifiers only — no tenant names anywhere in this output. Lease type is derived from the gap between lease start and move-in (31-day tolerance); a blank means the source could not support a classification.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Unit ID</t>
        </is>
      </c>
      <c r="B5" s="4" t="inlineStr">
        <is>
          <t>Floor plan</t>
        </is>
      </c>
      <c r="C5" s="4" t="inlineStr">
        <is>
          <t>Beds</t>
        </is>
      </c>
      <c r="D5" s="4" t="inlineStr">
        <is>
          <t>Baths</t>
        </is>
      </c>
      <c r="E5" s="4" t="inlineStr">
        <is>
          <t>SF</t>
        </is>
      </c>
      <c r="F5" s="4" t="inlineStr">
        <is>
          <t>Status</t>
        </is>
      </c>
      <c r="G5" s="4" t="inlineStr">
        <is>
          <t>Lease start</t>
        </is>
      </c>
      <c r="H5" s="4" t="inlineStr">
        <is>
          <t>Move-in</t>
        </is>
      </c>
      <c r="I5" s="4" t="inlineStr">
        <is>
          <t>Lease type</t>
        </is>
      </c>
      <c r="J5" s="4" t="inlineStr">
        <is>
          <t>In-place rent</t>
        </is>
      </c>
      <c r="K5" s="4" t="inlineStr">
        <is>
          <t>Rent per SF</t>
        </is>
      </c>
    </row>
    <row r="6">
      <c r="A6" s="5" t="inlineStr">
        <is>
          <t>101</t>
        </is>
      </c>
      <c r="B6" s="5" t="inlineStr">
        <is>
          <t>A1</t>
        </is>
      </c>
      <c r="C6" s="6" t="n">
        <v>2</v>
      </c>
      <c r="D6" s="6" t="n">
        <v>2</v>
      </c>
      <c r="E6" s="7" t="n">
        <v>1150</v>
      </c>
      <c r="F6" s="5" t="inlineStr">
        <is>
          <t>Occupied</t>
        </is>
      </c>
      <c r="G6" s="8" t="n">
        <v>45306</v>
      </c>
      <c r="H6" s="8" t="n">
        <v>45306</v>
      </c>
      <c r="I6" s="5" t="inlineStr">
        <is>
          <t>New</t>
        </is>
      </c>
      <c r="J6" s="7" t="n">
        <v>2090</v>
      </c>
      <c r="K6" s="9">
        <f>IFERROR(J6/E6,"")</f>
        <v/>
      </c>
    </row>
    <row r="7">
      <c r="A7" s="5" t="inlineStr">
        <is>
          <t>102</t>
        </is>
      </c>
      <c r="B7" s="5" t="inlineStr">
        <is>
          <t>B2</t>
        </is>
      </c>
      <c r="C7" s="6" t="n">
        <v>3</v>
      </c>
      <c r="D7" s="6" t="n">
        <v>2</v>
      </c>
      <c r="E7" s="7" t="n">
        <v>1440</v>
      </c>
      <c r="F7" s="5" t="inlineStr">
        <is>
          <t>Occupied</t>
        </is>
      </c>
      <c r="G7" s="8" t="n">
        <v>45335</v>
      </c>
      <c r="H7" s="8" t="n">
        <v>45335</v>
      </c>
      <c r="I7" s="5" t="inlineStr">
        <is>
          <t>New</t>
        </is>
      </c>
      <c r="J7" s="7" t="n">
        <v>2425</v>
      </c>
      <c r="K7" s="9">
        <f>IFERROR(J7/E7,"")</f>
        <v/>
      </c>
    </row>
    <row r="8">
      <c r="A8" s="5" t="inlineStr">
        <is>
          <t>103</t>
        </is>
      </c>
      <c r="B8" s="5" t="inlineStr">
        <is>
          <t>C3</t>
        </is>
      </c>
      <c r="C8" s="6" t="n">
        <v>4</v>
      </c>
      <c r="D8" s="6" t="n">
        <v>3</v>
      </c>
      <c r="E8" s="7" t="n">
        <v>1785</v>
      </c>
      <c r="F8" s="5" t="inlineStr">
        <is>
          <t>Occupied</t>
        </is>
      </c>
      <c r="G8" s="8" t="n">
        <v>45364</v>
      </c>
      <c r="H8" s="8" t="n">
        <v>45364</v>
      </c>
      <c r="I8" s="5" t="inlineStr">
        <is>
          <t>New</t>
        </is>
      </c>
      <c r="J8" s="7" t="n">
        <v>2855</v>
      </c>
      <c r="K8" s="9">
        <f>IFERROR(J8/E8,"")</f>
        <v/>
      </c>
    </row>
    <row r="9">
      <c r="A9" s="5" t="inlineStr">
        <is>
          <t>104</t>
        </is>
      </c>
      <c r="B9" s="5" t="inlineStr">
        <is>
          <t>A1</t>
        </is>
      </c>
      <c r="C9" s="6" t="n">
        <v>2</v>
      </c>
      <c r="D9" s="6" t="n">
        <v>2</v>
      </c>
      <c r="E9" s="7" t="n">
        <v>1150</v>
      </c>
      <c r="F9" s="5" t="inlineStr">
        <is>
          <t>Vacant</t>
        </is>
      </c>
      <c r="G9" s="10" t="n"/>
      <c r="H9" s="10" t="n"/>
      <c r="I9" s="10" t="n"/>
      <c r="J9" s="10" t="n"/>
      <c r="K9" s="9">
        <f>IFERROR(J9/E9,"")</f>
        <v/>
      </c>
    </row>
    <row r="10">
      <c r="A10" s="5" t="inlineStr">
        <is>
          <t>105</t>
        </is>
      </c>
      <c r="B10" s="5" t="inlineStr">
        <is>
          <t>B2</t>
        </is>
      </c>
      <c r="C10" s="6" t="n">
        <v>3</v>
      </c>
      <c r="D10" s="6" t="n">
        <v>2</v>
      </c>
      <c r="E10" s="7" t="n">
        <v>1440</v>
      </c>
      <c r="F10" s="5" t="inlineStr">
        <is>
          <t>Occupied</t>
        </is>
      </c>
      <c r="G10" s="8" t="n">
        <v>45422</v>
      </c>
      <c r="H10" s="8" t="n">
        <v>45422</v>
      </c>
      <c r="I10" s="5" t="inlineStr">
        <is>
          <t>New</t>
        </is>
      </c>
      <c r="J10" s="7" t="n">
        <v>2425</v>
      </c>
      <c r="K10" s="9">
        <f>IFERROR(J10/E10,"")</f>
        <v/>
      </c>
    </row>
    <row r="11">
      <c r="A11" s="5" t="inlineStr">
        <is>
          <t>106</t>
        </is>
      </c>
      <c r="B11" s="5" t="inlineStr">
        <is>
          <t>C3</t>
        </is>
      </c>
      <c r="C11" s="6" t="n">
        <v>4</v>
      </c>
      <c r="D11" s="6" t="n">
        <v>3</v>
      </c>
      <c r="E11" s="7" t="n">
        <v>1785</v>
      </c>
      <c r="F11" s="5" t="inlineStr">
        <is>
          <t>Occupied</t>
        </is>
      </c>
      <c r="G11" s="8" t="n">
        <v>45451</v>
      </c>
      <c r="H11" s="8" t="n">
        <v>45451</v>
      </c>
      <c r="I11" s="5" t="inlineStr">
        <is>
          <t>New</t>
        </is>
      </c>
      <c r="J11" s="7" t="n">
        <v>2855</v>
      </c>
      <c r="K11" s="9">
        <f>IFERROR(J11/E11,"")</f>
        <v/>
      </c>
    </row>
    <row r="12">
      <c r="A12" s="5" t="inlineStr">
        <is>
          <t>107</t>
        </is>
      </c>
      <c r="B12" s="5" t="inlineStr">
        <is>
          <t>A1</t>
        </is>
      </c>
      <c r="C12" s="6" t="n">
        <v>2</v>
      </c>
      <c r="D12" s="6" t="n">
        <v>2</v>
      </c>
      <c r="E12" s="7" t="n">
        <v>1150</v>
      </c>
      <c r="F12" s="5" t="inlineStr">
        <is>
          <t>Occupied</t>
        </is>
      </c>
      <c r="G12" s="8" t="n">
        <v>45480</v>
      </c>
      <c r="H12" s="8" t="n">
        <v>45480</v>
      </c>
      <c r="I12" s="5" t="inlineStr">
        <is>
          <t>New</t>
        </is>
      </c>
      <c r="J12" s="7" t="n">
        <v>2090</v>
      </c>
      <c r="K12" s="9">
        <f>IFERROR(J12/E12,"")</f>
        <v/>
      </c>
    </row>
    <row r="13">
      <c r="A13" s="5" t="inlineStr">
        <is>
          <t>108</t>
        </is>
      </c>
      <c r="B13" s="5" t="inlineStr">
        <is>
          <t>B2</t>
        </is>
      </c>
      <c r="C13" s="6" t="n">
        <v>3</v>
      </c>
      <c r="D13" s="6" t="n">
        <v>2</v>
      </c>
      <c r="E13" s="7" t="n">
        <v>1440</v>
      </c>
      <c r="F13" s="5" t="inlineStr">
        <is>
          <t>Occupied</t>
        </is>
      </c>
      <c r="G13" s="8" t="n">
        <v>45509</v>
      </c>
      <c r="H13" s="8" t="n">
        <v>45509</v>
      </c>
      <c r="I13" s="5" t="inlineStr">
        <is>
          <t>New</t>
        </is>
      </c>
      <c r="J13" s="7" t="n">
        <v>2425</v>
      </c>
      <c r="K13" s="9">
        <f>IFERROR(J13/E13,"")</f>
        <v/>
      </c>
    </row>
    <row r="14">
      <c r="A14" s="5" t="inlineStr">
        <is>
          <t>109</t>
        </is>
      </c>
      <c r="B14" s="5" t="inlineStr">
        <is>
          <t>C3</t>
        </is>
      </c>
      <c r="C14" s="6" t="n">
        <v>4</v>
      </c>
      <c r="D14" s="6" t="n">
        <v>3</v>
      </c>
      <c r="E14" s="7" t="n">
        <v>1785</v>
      </c>
      <c r="F14" s="5" t="inlineStr">
        <is>
          <t>Occupied</t>
        </is>
      </c>
      <c r="G14" s="8" t="n">
        <v>45538</v>
      </c>
      <c r="H14" s="8" t="n">
        <v>45538</v>
      </c>
      <c r="I14" s="5" t="inlineStr">
        <is>
          <t>New</t>
        </is>
      </c>
      <c r="J14" s="7" t="n">
        <v>2855</v>
      </c>
      <c r="K14" s="9">
        <f>IFERROR(J14/E14,"")</f>
        <v/>
      </c>
    </row>
    <row r="15">
      <c r="A15" s="5" t="inlineStr">
        <is>
          <t>110</t>
        </is>
      </c>
      <c r="B15" s="5" t="inlineStr">
        <is>
          <t>A1</t>
        </is>
      </c>
      <c r="C15" s="6" t="n">
        <v>2</v>
      </c>
      <c r="D15" s="6" t="n">
        <v>2</v>
      </c>
      <c r="E15" s="7" t="n">
        <v>1150</v>
      </c>
      <c r="F15" s="5" t="inlineStr">
        <is>
          <t>Occupied</t>
        </is>
      </c>
      <c r="G15" s="8" t="n">
        <v>45567</v>
      </c>
      <c r="H15" s="8" t="n">
        <v>45567</v>
      </c>
      <c r="I15" s="5" t="inlineStr">
        <is>
          <t>New</t>
        </is>
      </c>
      <c r="J15" s="7" t="n">
        <v>2090</v>
      </c>
      <c r="K15" s="9">
        <f>IFERROR(J15/E15,"")</f>
        <v/>
      </c>
    </row>
    <row r="16">
      <c r="A16" s="5" t="inlineStr">
        <is>
          <t>111</t>
        </is>
      </c>
      <c r="B16" s="5" t="inlineStr">
        <is>
          <t>B2</t>
        </is>
      </c>
      <c r="C16" s="6" t="n">
        <v>3</v>
      </c>
      <c r="D16" s="6" t="n">
        <v>2</v>
      </c>
      <c r="E16" s="7" t="n">
        <v>1440</v>
      </c>
      <c r="F16" s="5" t="inlineStr">
        <is>
          <t>Occupied</t>
        </is>
      </c>
      <c r="G16" s="8" t="n">
        <v>45596</v>
      </c>
      <c r="H16" s="8" t="n">
        <v>45596</v>
      </c>
      <c r="I16" s="5" t="inlineStr">
        <is>
          <t>New</t>
        </is>
      </c>
      <c r="J16" s="7" t="n">
        <v>2425</v>
      </c>
      <c r="K16" s="9">
        <f>IFERROR(J16/E16,"")</f>
        <v/>
      </c>
    </row>
    <row r="17">
      <c r="A17" s="5" t="inlineStr">
        <is>
          <t>112</t>
        </is>
      </c>
      <c r="B17" s="5" t="inlineStr">
        <is>
          <t>C3</t>
        </is>
      </c>
      <c r="C17" s="6" t="n">
        <v>4</v>
      </c>
      <c r="D17" s="6" t="n">
        <v>3</v>
      </c>
      <c r="E17" s="7" t="n">
        <v>1785</v>
      </c>
      <c r="F17" s="5" t="inlineStr">
        <is>
          <t>Vacant</t>
        </is>
      </c>
      <c r="G17" s="10" t="n"/>
      <c r="H17" s="10" t="n"/>
      <c r="I17" s="10" t="n"/>
      <c r="J17" s="10" t="n"/>
      <c r="K17" s="9">
        <f>IFERROR(J17/E17,"")</f>
        <v/>
      </c>
    </row>
    <row r="18">
      <c r="A18" s="5" t="inlineStr">
        <is>
          <t>113</t>
        </is>
      </c>
      <c r="B18" s="5" t="inlineStr">
        <is>
          <t>A1</t>
        </is>
      </c>
      <c r="C18" s="6" t="n">
        <v>2</v>
      </c>
      <c r="D18" s="6" t="n">
        <v>2</v>
      </c>
      <c r="E18" s="7" t="n">
        <v>1150</v>
      </c>
      <c r="F18" s="5" t="inlineStr">
        <is>
          <t>Occupied</t>
        </is>
      </c>
      <c r="G18" s="8" t="n">
        <v>45654</v>
      </c>
      <c r="H18" s="8" t="n">
        <v>45654</v>
      </c>
      <c r="I18" s="5" t="inlineStr">
        <is>
          <t>New</t>
        </is>
      </c>
      <c r="J18" s="7" t="n">
        <v>2090</v>
      </c>
      <c r="K18" s="9">
        <f>IFERROR(J18/E18,"")</f>
        <v/>
      </c>
    </row>
    <row r="19">
      <c r="A19" s="5" t="inlineStr">
        <is>
          <t>114</t>
        </is>
      </c>
      <c r="B19" s="5" t="inlineStr">
        <is>
          <t>B2</t>
        </is>
      </c>
      <c r="C19" s="6" t="n">
        <v>3</v>
      </c>
      <c r="D19" s="6" t="n">
        <v>2</v>
      </c>
      <c r="E19" s="7" t="n">
        <v>1440</v>
      </c>
      <c r="F19" s="5" t="inlineStr">
        <is>
          <t>Occupied</t>
        </is>
      </c>
      <c r="G19" s="8" t="n">
        <v>45683</v>
      </c>
      <c r="H19" s="8" t="n">
        <v>45683</v>
      </c>
      <c r="I19" s="5" t="inlineStr">
        <is>
          <t>New</t>
        </is>
      </c>
      <c r="J19" s="7" t="n">
        <v>2425</v>
      </c>
      <c r="K19" s="9">
        <f>IFERROR(J19/E19,"")</f>
        <v/>
      </c>
    </row>
    <row r="20">
      <c r="A20" s="5" t="inlineStr">
        <is>
          <t>115</t>
        </is>
      </c>
      <c r="B20" s="5" t="inlineStr">
        <is>
          <t>C3</t>
        </is>
      </c>
      <c r="C20" s="6" t="n">
        <v>4</v>
      </c>
      <c r="D20" s="6" t="n">
        <v>3</v>
      </c>
      <c r="E20" s="7" t="n">
        <v>1785</v>
      </c>
      <c r="F20" s="5" t="inlineStr">
        <is>
          <t>Occupied</t>
        </is>
      </c>
      <c r="G20" s="8" t="n">
        <v>45712</v>
      </c>
      <c r="H20" s="8" t="n">
        <v>45712</v>
      </c>
      <c r="I20" s="5" t="inlineStr">
        <is>
          <t>New</t>
        </is>
      </c>
      <c r="J20" s="7" t="n">
        <v>2855</v>
      </c>
      <c r="K20" s="9">
        <f>IFERROR(J20/E20,"")</f>
        <v/>
      </c>
    </row>
    <row r="21">
      <c r="A21" s="5" t="inlineStr">
        <is>
          <t>116</t>
        </is>
      </c>
      <c r="B21" s="5" t="inlineStr">
        <is>
          <t>A1</t>
        </is>
      </c>
      <c r="C21" s="6" t="n">
        <v>2</v>
      </c>
      <c r="D21" s="6" t="n">
        <v>2</v>
      </c>
      <c r="E21" s="7" t="n">
        <v>1150</v>
      </c>
      <c r="F21" s="5" t="inlineStr">
        <is>
          <t>Occupied</t>
        </is>
      </c>
      <c r="G21" s="8" t="n">
        <v>45741</v>
      </c>
      <c r="H21" s="8" t="n">
        <v>45741</v>
      </c>
      <c r="I21" s="5" t="inlineStr">
        <is>
          <t>New</t>
        </is>
      </c>
      <c r="J21" s="7" t="n">
        <v>2090</v>
      </c>
      <c r="K21" s="9">
        <f>IFERROR(J21/E21,"")</f>
        <v/>
      </c>
    </row>
    <row r="22">
      <c r="A22" s="5" t="inlineStr">
        <is>
          <t>117</t>
        </is>
      </c>
      <c r="B22" s="5" t="inlineStr">
        <is>
          <t>B2</t>
        </is>
      </c>
      <c r="C22" s="6" t="n">
        <v>3</v>
      </c>
      <c r="D22" s="6" t="n">
        <v>2</v>
      </c>
      <c r="E22" s="7" t="n">
        <v>1440</v>
      </c>
      <c r="F22" s="5" t="inlineStr">
        <is>
          <t>Occupied</t>
        </is>
      </c>
      <c r="G22" s="8" t="n">
        <v>45770</v>
      </c>
      <c r="H22" s="8" t="n">
        <v>45770</v>
      </c>
      <c r="I22" s="5" t="inlineStr">
        <is>
          <t>New</t>
        </is>
      </c>
      <c r="J22" s="7" t="n">
        <v>2425</v>
      </c>
      <c r="K22" s="9">
        <f>IFERROR(J22/E22,"")</f>
        <v/>
      </c>
    </row>
    <row r="23">
      <c r="A23" s="5" t="inlineStr">
        <is>
          <t>118</t>
        </is>
      </c>
      <c r="B23" s="5" t="inlineStr">
        <is>
          <t>C3</t>
        </is>
      </c>
      <c r="C23" s="6" t="n">
        <v>4</v>
      </c>
      <c r="D23" s="6" t="n">
        <v>3</v>
      </c>
      <c r="E23" s="7" t="n">
        <v>1785</v>
      </c>
      <c r="F23" s="5" t="inlineStr">
        <is>
          <t>Occupied</t>
        </is>
      </c>
      <c r="G23" s="8" t="n">
        <v>45799</v>
      </c>
      <c r="H23" s="8" t="n">
        <v>45799</v>
      </c>
      <c r="I23" s="5" t="inlineStr">
        <is>
          <t>New</t>
        </is>
      </c>
      <c r="J23" s="7" t="n">
        <v>2855</v>
      </c>
      <c r="K23" s="9">
        <f>IFERROR(J23/E23,"")</f>
        <v/>
      </c>
    </row>
    <row r="24">
      <c r="A24" s="5" t="inlineStr">
        <is>
          <t>119</t>
        </is>
      </c>
      <c r="B24" s="5" t="inlineStr">
        <is>
          <t>A1</t>
        </is>
      </c>
      <c r="C24" s="6" t="n">
        <v>2</v>
      </c>
      <c r="D24" s="6" t="n">
        <v>2</v>
      </c>
      <c r="E24" s="7" t="n">
        <v>1150</v>
      </c>
      <c r="F24" s="5" t="inlineStr">
        <is>
          <t>Occupied</t>
        </is>
      </c>
      <c r="G24" s="8" t="n">
        <v>45828</v>
      </c>
      <c r="H24" s="8" t="n">
        <v>45828</v>
      </c>
      <c r="I24" s="5" t="inlineStr">
        <is>
          <t>New</t>
        </is>
      </c>
      <c r="J24" s="7" t="n">
        <v>2090</v>
      </c>
      <c r="K24" s="9">
        <f>IFERROR(J24/E24,"")</f>
        <v/>
      </c>
    </row>
    <row r="25">
      <c r="A25" s="5" t="inlineStr">
        <is>
          <t>120</t>
        </is>
      </c>
      <c r="B25" s="5" t="inlineStr">
        <is>
          <t>B2</t>
        </is>
      </c>
      <c r="C25" s="6" t="n">
        <v>3</v>
      </c>
      <c r="D25" s="6" t="n">
        <v>2</v>
      </c>
      <c r="E25" s="7" t="n">
        <v>1440</v>
      </c>
      <c r="F25" s="5" t="inlineStr">
        <is>
          <t>Vacant</t>
        </is>
      </c>
      <c r="G25" s="10" t="n"/>
      <c r="H25" s="10" t="n"/>
      <c r="I25" s="10" t="n"/>
      <c r="J25" s="10" t="n"/>
      <c r="K25" s="9">
        <f>IFERROR(J25/E25,"")</f>
        <v/>
      </c>
    </row>
    <row r="26">
      <c r="A26" s="5" t="inlineStr">
        <is>
          <t>121</t>
        </is>
      </c>
      <c r="B26" s="5" t="inlineStr">
        <is>
          <t>C3</t>
        </is>
      </c>
      <c r="C26" s="6" t="n">
        <v>4</v>
      </c>
      <c r="D26" s="6" t="n">
        <v>3</v>
      </c>
      <c r="E26" s="7" t="n">
        <v>1785</v>
      </c>
      <c r="F26" s="5" t="inlineStr">
        <is>
          <t>Occupied</t>
        </is>
      </c>
      <c r="G26" s="8" t="n">
        <v>45886</v>
      </c>
      <c r="H26" s="8" t="n">
        <v>45886</v>
      </c>
      <c r="I26" s="5" t="inlineStr">
        <is>
          <t>New</t>
        </is>
      </c>
      <c r="J26" s="7" t="n">
        <v>2855</v>
      </c>
      <c r="K26" s="9">
        <f>IFERROR(J26/E26,"")</f>
        <v/>
      </c>
    </row>
    <row r="27">
      <c r="A27" s="5" t="inlineStr">
        <is>
          <t>122</t>
        </is>
      </c>
      <c r="B27" s="5" t="inlineStr">
        <is>
          <t>A1</t>
        </is>
      </c>
      <c r="C27" s="6" t="n">
        <v>2</v>
      </c>
      <c r="D27" s="6" t="n">
        <v>2</v>
      </c>
      <c r="E27" s="7" t="n">
        <v>1150</v>
      </c>
      <c r="F27" s="5" t="inlineStr">
        <is>
          <t>Occupied</t>
        </is>
      </c>
      <c r="G27" s="8" t="n">
        <v>45915</v>
      </c>
      <c r="H27" s="8" t="n">
        <v>45915</v>
      </c>
      <c r="I27" s="5" t="inlineStr">
        <is>
          <t>New</t>
        </is>
      </c>
      <c r="J27" s="7" t="n">
        <v>2090</v>
      </c>
      <c r="K27" s="9">
        <f>IFERROR(J27/E27,"")</f>
        <v/>
      </c>
    </row>
    <row r="28">
      <c r="A28" s="5" t="inlineStr">
        <is>
          <t>123</t>
        </is>
      </c>
      <c r="B28" s="5" t="inlineStr">
        <is>
          <t>B2</t>
        </is>
      </c>
      <c r="C28" s="6" t="n">
        <v>3</v>
      </c>
      <c r="D28" s="6" t="n">
        <v>2</v>
      </c>
      <c r="E28" s="7" t="n">
        <v>1440</v>
      </c>
      <c r="F28" s="5" t="inlineStr">
        <is>
          <t>Occupied</t>
        </is>
      </c>
      <c r="G28" s="8" t="n">
        <v>45944</v>
      </c>
      <c r="H28" s="8" t="n">
        <v>45944</v>
      </c>
      <c r="I28" s="5" t="inlineStr">
        <is>
          <t>New</t>
        </is>
      </c>
      <c r="J28" s="7" t="n">
        <v>2425</v>
      </c>
      <c r="K28" s="9">
        <f>IFERROR(J28/E28,"")</f>
        <v/>
      </c>
    </row>
    <row r="29">
      <c r="A29" s="5" t="inlineStr">
        <is>
          <t>124</t>
        </is>
      </c>
      <c r="B29" s="5" t="inlineStr">
        <is>
          <t>C3</t>
        </is>
      </c>
      <c r="C29" s="6" t="n">
        <v>4</v>
      </c>
      <c r="D29" s="6" t="n">
        <v>3</v>
      </c>
      <c r="E29" s="7" t="n">
        <v>1785</v>
      </c>
      <c r="F29" s="5" t="inlineStr">
        <is>
          <t>Occupied</t>
        </is>
      </c>
      <c r="G29" s="8" t="n">
        <v>45973</v>
      </c>
      <c r="H29" s="8" t="n">
        <v>45973</v>
      </c>
      <c r="I29" s="5" t="inlineStr">
        <is>
          <t>New</t>
        </is>
      </c>
      <c r="J29" s="7" t="n">
        <v>2855</v>
      </c>
      <c r="K29" s="9">
        <f>IFERROR(J29/E29,"")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4" customWidth="1" min="5" max="5"/>
    <col width="15" customWidth="1" min="6" max="6"/>
    <col width="9" customWidth="1" min="7" max="7"/>
    <col width="15" customWidth="1" min="8" max="8"/>
    <col width="10" customWidth="1" min="9" max="9"/>
    <col width="21" customWidth="1" min="10" max="10"/>
    <col width="34" customWidth="1" min="11" max="11"/>
  </cols>
  <sheetData>
    <row r="1">
      <c r="A1" s="1" t="inlineStr">
        <is>
          <t>Unit mix summary</t>
        </is>
      </c>
    </row>
    <row r="2">
      <c r="A2" s="2" t="inlineStr">
        <is>
          <t>Wildflower Crossing — as of 2025-11-12</t>
        </is>
      </c>
    </row>
    <row r="3">
      <c r="A3" s="2" t="inlineStr">
        <is>
          <t>AI Underwriting Pipeline — Sample Outputs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11" t="inlineStr">
        <is>
          <t>Months lookback</t>
        </is>
      </c>
      <c r="B5" s="12" t="n">
        <v>12</v>
      </c>
      <c r="D5" s="11" t="inlineStr">
        <is>
          <t>As-of date</t>
        </is>
      </c>
      <c r="E5" s="13" t="n">
        <v>45973</v>
      </c>
      <c r="G5" s="11" t="inlineStr">
        <is>
          <t>New-tenant tol (days)</t>
        </is>
      </c>
      <c r="H5" s="12" t="n">
        <v>31</v>
      </c>
    </row>
    <row r="6">
      <c r="A6" s="2" t="inlineStr">
        <is>
          <t>Every window below is measured from the as-of date, never from today — a summary that silently re-windows when reopened next quarter is worse than none.</t>
        </is>
      </c>
    </row>
    <row r="8">
      <c r="A8" s="4" t="inlineStr">
        <is>
          <t>Bedroom</t>
        </is>
      </c>
      <c r="B8" s="4" t="inlineStr">
        <is>
          <t>Floor plan</t>
        </is>
      </c>
      <c r="C8" s="4" t="inlineStr">
        <is>
          <t>Avg SF</t>
        </is>
      </c>
      <c r="D8" s="4" t="inlineStr">
        <is>
          <t>Unit count</t>
        </is>
      </c>
      <c r="E8" s="4" t="inlineStr">
        <is>
          <t>In-place rent</t>
        </is>
      </c>
      <c r="F8" s="4" t="inlineStr">
        <is>
          <t>LEASES SIGNED rent</t>
        </is>
      </c>
      <c r="G8" s="4" t="inlineStr">
        <is>
          <t>Signed #</t>
        </is>
      </c>
      <c r="H8" s="4" t="inlineStr">
        <is>
          <t>NEW MOVE-IN rent</t>
        </is>
      </c>
      <c r="I8" s="4" t="inlineStr">
        <is>
          <t>Move-In #</t>
        </is>
      </c>
      <c r="J8" s="4" t="inlineStr">
        <is>
          <t>Market rent for model</t>
        </is>
      </c>
      <c r="K8" s="4" t="inlineStr">
        <is>
          <t>Basis</t>
        </is>
      </c>
    </row>
    <row r="9">
      <c r="A9" s="6" t="n">
        <v>2</v>
      </c>
      <c r="B9" s="5" t="inlineStr">
        <is>
          <t>A1</t>
        </is>
      </c>
      <c r="C9" s="7">
        <f>IFERROR(AVERAGEIF('Rent Roll'!$B$6:$B$29,$B9,'Rent Roll'!$E$6:$E$29),"")</f>
        <v/>
      </c>
      <c r="D9" s="7">
        <f>COUNTIF('Rent Roll'!$B$6:$B$29,$B9)</f>
        <v/>
      </c>
      <c r="E9" s="7">
        <f>IFERROR(AVERAGEIFS('Rent Roll'!$J$6:$J$29,'Rent Roll'!$B$6:$B$29,$B9,'Rent Roll'!$F$6:$F$29,"Occupied"),"")</f>
        <v/>
      </c>
      <c r="F9" s="7" t="n">
        <v>2090</v>
      </c>
      <c r="G9" s="7" t="n">
        <v>4</v>
      </c>
      <c r="H9" s="7" t="n">
        <v>2090</v>
      </c>
      <c r="I9" s="7" t="n">
        <v>4</v>
      </c>
      <c r="J9" s="7" t="n">
        <v>2090</v>
      </c>
      <c r="K9" s="5" t="inlineStr">
        <is>
          <t>New move-ins (n=4)</t>
        </is>
      </c>
    </row>
    <row r="10">
      <c r="A10" s="6" t="n">
        <v>3</v>
      </c>
      <c r="B10" s="5" t="inlineStr">
        <is>
          <t>B2</t>
        </is>
      </c>
      <c r="C10" s="7">
        <f>IFERROR(AVERAGEIF('Rent Roll'!$B$6:$B$29,$B10,'Rent Roll'!$E$6:$E$29),"")</f>
        <v/>
      </c>
      <c r="D10" s="7">
        <f>COUNTIF('Rent Roll'!$B$6:$B$29,$B10)</f>
        <v/>
      </c>
      <c r="E10" s="7">
        <f>IFERROR(AVERAGEIFS('Rent Roll'!$J$6:$J$29,'Rent Roll'!$B$6:$B$29,$B10,'Rent Roll'!$F$6:$F$29,"Occupied"),"")</f>
        <v/>
      </c>
      <c r="F10" s="7" t="n">
        <v>2425</v>
      </c>
      <c r="G10" s="7" t="n">
        <v>3</v>
      </c>
      <c r="H10" s="7" t="n">
        <v>2425</v>
      </c>
      <c r="I10" s="7" t="n">
        <v>3</v>
      </c>
      <c r="J10" s="7" t="n">
        <v>2425</v>
      </c>
      <c r="K10" s="5" t="inlineStr">
        <is>
          <t>New move-ins (n=3)</t>
        </is>
      </c>
    </row>
    <row r="11">
      <c r="A11" s="6" t="n">
        <v>4</v>
      </c>
      <c r="B11" s="5" t="inlineStr">
        <is>
          <t>C3</t>
        </is>
      </c>
      <c r="C11" s="7">
        <f>IFERROR(AVERAGEIF('Rent Roll'!$B$6:$B$29,$B11,'Rent Roll'!$E$6:$E$29),"")</f>
        <v/>
      </c>
      <c r="D11" s="7">
        <f>COUNTIF('Rent Roll'!$B$6:$B$29,$B11)</f>
        <v/>
      </c>
      <c r="E11" s="7">
        <f>IFERROR(AVERAGEIFS('Rent Roll'!$J$6:$J$29,'Rent Roll'!$B$6:$B$29,$B11,'Rent Roll'!$F$6:$F$29,"Occupied"),"")</f>
        <v/>
      </c>
      <c r="F11" s="7" t="n">
        <v>2855</v>
      </c>
      <c r="G11" s="7" t="n">
        <v>4</v>
      </c>
      <c r="H11" s="7" t="n">
        <v>2855</v>
      </c>
      <c r="I11" s="7" t="n">
        <v>4</v>
      </c>
      <c r="J11" s="7" t="n">
        <v>2855</v>
      </c>
      <c r="K11" s="5" t="inlineStr">
        <is>
          <t>New move-ins (n=4)</t>
        </is>
      </c>
    </row>
    <row r="13">
      <c r="A13" s="14" t="n"/>
      <c r="B13" s="15" t="inlineStr">
        <is>
          <t>TOTAL</t>
        </is>
      </c>
      <c r="C13" s="16">
        <f>IFERROR(SUMPRODUCT($D$9:$D$11,$C$9:$C$11)/SUM($D$9:$D$11),"")</f>
        <v/>
      </c>
      <c r="D13" s="16">
        <f>SUM(D9:D11)</f>
        <v/>
      </c>
      <c r="E13" s="16">
        <f>IFERROR(AVERAGEIFS('Rent Roll'!$J$6:$J$29,'Rent Roll'!$F$6:$F$29,"Occupied"),"")</f>
        <v/>
      </c>
      <c r="F13" s="16">
        <f>IFERROR(SUMPRODUCT($F$9:$F$11,$G$9:$G$11)/SUM($G$9:$G$11),"")</f>
        <v/>
      </c>
      <c r="G13" s="16">
        <f>SUM(G9:G11)</f>
        <v/>
      </c>
      <c r="H13" s="16">
        <f>IFERROR(SUMPRODUCT($H$9:$H$11,$I$9:$I$11)/SUM($I$9:$I$11),"")</f>
        <v/>
      </c>
      <c r="I13" s="16">
        <f>SUM(I9:I11)</f>
        <v/>
      </c>
      <c r="J13" s="16">
        <f>IFERROR(SUMPRODUCT($D$9:$D$11,$J$9:$J$11)/SUM($D$9:$D$11),"")</f>
        <v/>
      </c>
      <c r="K13" s="15" t="inlineStr">
        <is>
          <t>Weighted by unit count.</t>
        </is>
      </c>
    </row>
    <row r="15">
      <c r="A15" s="17" t="inlineStr">
        <is>
          <t>Occupancy &amp; vacancy</t>
        </is>
      </c>
      <c r="B15" s="17" t="n"/>
      <c r="C15" s="17" t="n"/>
    </row>
    <row r="16">
      <c r="A16" s="5" t="inlineStr">
        <is>
          <t>Total units</t>
        </is>
      </c>
      <c r="B16" s="7">
        <f>D13</f>
        <v/>
      </c>
    </row>
    <row r="17">
      <c r="A17" s="5" t="inlineStr">
        <is>
          <t>Occupied units</t>
        </is>
      </c>
      <c r="B17" s="7" t="n">
        <v>21</v>
      </c>
    </row>
    <row r="18">
      <c r="A18" s="5" t="inlineStr">
        <is>
          <t>Vacant units</t>
        </is>
      </c>
      <c r="B18" s="7" t="n">
        <v>3</v>
      </c>
    </row>
    <row r="19">
      <c r="A19" s="5" t="inlineStr">
        <is>
          <t>Non-revenue units</t>
        </is>
      </c>
      <c r="B19" s="7" t="n">
        <v>0</v>
      </c>
      <c r="C19" s="18" t="inlineStr">
        <is>
          <t>Models and down units: in the stock, in neither occupancy bucket.</t>
        </is>
      </c>
    </row>
    <row r="20">
      <c r="A20" s="5" t="inlineStr">
        <is>
          <t>Occupancy</t>
        </is>
      </c>
      <c r="B20" s="19">
        <f>IFERROR(B17/B16,"")</f>
        <v/>
      </c>
    </row>
    <row r="21">
      <c r="A21" s="5" t="inlineStr">
        <is>
          <t>Vacancy</t>
        </is>
      </c>
      <c r="B21" s="19">
        <f>IFERROR(1-B17/B16,"")</f>
        <v/>
      </c>
      <c r="C21" s="18" t="inlineStr">
        <is>
          <t>The physical-vacancy input a model consumes.</t>
        </is>
      </c>
    </row>
    <row r="23">
      <c r="A23" s="17" t="inlineStr">
        <is>
          <t>Annualised turnover rate</t>
        </is>
      </c>
      <c r="B23" s="17" t="n"/>
      <c r="C23" s="17" t="n"/>
    </row>
    <row r="24">
      <c r="A24" s="5" t="inlineStr">
        <is>
          <t>Annualised turnover</t>
        </is>
      </c>
      <c r="B24" s="19" t="n">
        <v>0.4583333333333333</v>
      </c>
      <c r="C24" s="18" t="inlineStr">
        <is>
          <t>Move-ins in the trailing 12 months, annualised against unit count.</t>
        </is>
      </c>
    </row>
    <row r="26">
      <c r="A26" s="17" t="inlineStr">
        <is>
          <t>New move-ins</t>
        </is>
      </c>
      <c r="B26" s="17" t="n"/>
      <c r="C26" s="17" t="n"/>
    </row>
    <row r="27">
      <c r="A27" s="5" t="inlineStr">
        <is>
          <t>Move-ins in window</t>
        </is>
      </c>
      <c r="B27" s="7" t="n">
        <v>11</v>
      </c>
      <c r="C27" s="18" t="inlineStr">
        <is>
          <t>Counted by MOVE-IN date, never by lease start — a renewal stamps a fresh lease start against a resident who moved in years ago.</t>
        </is>
      </c>
    </row>
    <row r="28">
      <c r="A28" s="5" t="inlineStr">
        <is>
          <t>Window (months)</t>
        </is>
      </c>
      <c r="B28" s="7" t="n">
        <v>12</v>
      </c>
    </row>
    <row r="29">
      <c r="A29" s="5" t="inlineStr">
        <is>
          <t>Share of units</t>
        </is>
      </c>
      <c r="B29" s="19" t="n">
        <v>0.4583333333333333</v>
      </c>
    </row>
    <row r="31">
      <c r="A31" s="17" t="inlineStr">
        <is>
          <t>Notes</t>
        </is>
      </c>
      <c r="B31" s="17" t="n"/>
      <c r="C31" s="17" t="n"/>
    </row>
    <row r="32" ht="46" customHeight="1">
      <c r="A32" s="20" t="inlineStr">
        <is>
          <t>Market rent for model is the NEW MOVE-IN rent — residents whose move-in date falls inside the lookback window, whatever their lease type — where the plan has one, and the in-place average otherwise; the Basis column says which, per plan; a roll with no usable lease start or move-in date reads in-place outright. LEASES SIGNED is every classified lease started in the window, new and renewal together, and is shown for context only: a blend of new and renewal rents is a renewal average wearing a market-rent label, and on a stabilised property renewals outnumber new leases roughly three to two over twelve months.</t>
        </is>
      </c>
    </row>
    <row r="33" ht="32" customHeight="1">
      <c r="A33" s="20" t="inlineStr">
        <is>
          <t>The signed and move-in rents, their counts and market rent for model are values rather than formulas on purpose: they depend on the window above, and a formula would re-window itself the day this file is reopened. Unit count, average SF and in-place rent are live formulas over the Rent Roll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6" customWidth="1" min="4" max="4"/>
    <col width="11" customWidth="1" min="5" max="5"/>
    <col width="34" customWidth="1" min="6" max="6"/>
    <col width="62" customWidth="1" min="7" max="7"/>
  </cols>
  <sheetData>
    <row r="1">
      <c r="A1" s="1" t="inlineStr">
        <is>
          <t>Audit trail</t>
        </is>
      </c>
    </row>
    <row r="2">
      <c r="A2" s="2" t="inlineStr">
        <is>
          <t>Wildflower Crossing — as of 2025-11-12</t>
        </is>
      </c>
    </row>
    <row r="3">
      <c r="A3" s="2" t="inlineStr">
        <is>
          <t>The rent roll and unit mix. Every value below names the document it came from and where in it. A derived value names the values it was built from — one that could not would not have passed validation.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11" t="inlineStr">
        <is>
          <t>Stamped values in this workbook</t>
        </is>
      </c>
      <c r="B5" s="12" t="n">
        <v>8</v>
      </c>
    </row>
    <row r="6">
      <c r="A6" s="11" t="inlineStr">
        <is>
          <t>Coverage of the required set</t>
        </is>
      </c>
      <c r="B6" t="inlineStr">
        <is>
          <t>52/52 (100%)</t>
        </is>
      </c>
    </row>
    <row r="8">
      <c r="A8" s="4" t="inlineStr">
        <is>
          <t>Value</t>
        </is>
      </c>
      <c r="B8" s="4" t="inlineStr">
        <is>
          <t>Value as published</t>
        </is>
      </c>
      <c r="C8" s="4" t="inlineStr">
        <is>
          <t>Source document</t>
        </is>
      </c>
      <c r="D8" s="4" t="inlineStr">
        <is>
          <t>Where in it</t>
        </is>
      </c>
      <c r="E8" s="4" t="inlineStr">
        <is>
          <t>How</t>
        </is>
      </c>
      <c r="F8" s="4" t="inlineStr">
        <is>
          <t>Built from</t>
        </is>
      </c>
      <c r="G8" s="4" t="inlineStr">
        <is>
          <t>Supporting quote / note</t>
        </is>
      </c>
    </row>
    <row r="9">
      <c r="A9" s="21" t="inlineStr">
        <is>
          <t>rent_roll.as_of</t>
        </is>
      </c>
      <c r="B9" s="5" t="inlineStr">
        <is>
          <t>2025-11-12</t>
        </is>
      </c>
      <c r="C9" s="5" t="inlineStr">
        <is>
          <t>Wildflower Crossing Rent Roll.xlsx</t>
        </is>
      </c>
      <c r="D9" s="5" t="inlineStr">
        <is>
          <t>—</t>
        </is>
      </c>
      <c r="E9" s="5" t="inlineStr">
        <is>
          <t>derived</t>
        </is>
      </c>
      <c r="F9" s="5" t="inlineStr">
        <is>
          <t>rent_roll.units</t>
        </is>
      </c>
      <c r="G9" s="22" t="inlineStr">
        <is>
          <t>The roll states no as-of date, so this is inferred from the newest lease date on it.</t>
        </is>
      </c>
    </row>
    <row r="10">
      <c r="A10" s="21" t="inlineStr">
        <is>
          <t>rent_roll.lookback_months</t>
        </is>
      </c>
      <c r="B10" s="5" t="inlineStr">
        <is>
          <t>12</t>
        </is>
      </c>
      <c r="C10" s="5" t="inlineStr">
        <is>
          <t>Not stated in the uploaded documents</t>
        </is>
      </c>
      <c r="D10" s="5" t="inlineStr">
        <is>
          <t>—</t>
        </is>
      </c>
      <c r="E10" s="5" t="inlineStr">
        <is>
          <t>read</t>
        </is>
      </c>
      <c r="F10" s="10" t="n"/>
      <c r="G10" s="22" t="inlineStr">
        <is>
          <t>This demo's default of 12 — the months of lease history the turnover figures look back over. No uploaded document or note set it.</t>
        </is>
      </c>
    </row>
    <row r="11">
      <c r="A11" s="21" t="inlineStr">
        <is>
          <t>rent_roll.new_tenant_tolerance_days</t>
        </is>
      </c>
      <c r="B11" s="5" t="inlineStr">
        <is>
          <t>31</t>
        </is>
      </c>
      <c r="C11" s="5" t="inlineStr">
        <is>
          <t>Not stated in the uploaded documents</t>
        </is>
      </c>
      <c r="D11" s="5" t="inlineStr">
        <is>
          <t>—</t>
        </is>
      </c>
      <c r="E11" s="5" t="inlineStr">
        <is>
          <t>read</t>
        </is>
      </c>
      <c r="F11" s="10" t="n"/>
      <c r="G11" s="22" t="inlineStr">
        <is>
          <t>This demo's default of 31 — the days a lease start may sit from a move-in and still count as the same event. No uploaded document or note set it.</t>
        </is>
      </c>
    </row>
    <row r="12">
      <c r="A12" s="21" t="inlineStr">
        <is>
          <t>rent_roll.units</t>
        </is>
      </c>
      <c r="B12" s="5" t="inlineStr">
        <is>
          <t>24 entries</t>
        </is>
      </c>
      <c r="C12" s="5" t="inlineStr">
        <is>
          <t>Wildflower Crossing Rent Roll.xlsx</t>
        </is>
      </c>
      <c r="D12" s="5" t="inlineStr">
        <is>
          <t>roll</t>
        </is>
      </c>
      <c r="E12" s="5" t="inlineStr">
        <is>
          <t>read</t>
        </is>
      </c>
      <c r="F12" s="10" t="n"/>
      <c r="G12" s="22" t="inlineStr">
        <is>
          <t>Read from the uploaded rent roll.</t>
        </is>
      </c>
    </row>
    <row r="13">
      <c r="A13" s="21" t="inlineStr">
        <is>
          <t>summary.in_place_rent_avg</t>
        </is>
      </c>
      <c r="B13" s="5" t="inlineStr">
        <is>
          <t>2,456.67</t>
        </is>
      </c>
      <c r="C13" s="5" t="inlineStr">
        <is>
          <t>Wildflower Crossing Rent Roll.xlsx</t>
        </is>
      </c>
      <c r="D13" s="5" t="inlineStr">
        <is>
          <t>—</t>
        </is>
      </c>
      <c r="E13" s="5" t="inlineStr">
        <is>
          <t>derived</t>
        </is>
      </c>
      <c r="F13" s="5" t="inlineStr">
        <is>
          <t>rent_roll.units</t>
        </is>
      </c>
      <c r="G13" s="22" t="inlineStr">
        <is>
          <t>Unit-weighted across the uploaded roll.</t>
        </is>
      </c>
    </row>
    <row r="14">
      <c r="A14" s="21" t="inlineStr">
        <is>
          <t>summary.market_rent_for_model</t>
        </is>
      </c>
      <c r="B14" s="5" t="inlineStr">
        <is>
          <t>2,456.67</t>
        </is>
      </c>
      <c r="C14" s="5" t="inlineStr">
        <is>
          <t>Wildflower Crossing Rent Roll.xlsx</t>
        </is>
      </c>
      <c r="D14" s="5" t="inlineStr">
        <is>
          <t>—</t>
        </is>
      </c>
      <c r="E14" s="5" t="inlineStr">
        <is>
          <t>derived</t>
        </is>
      </c>
      <c r="F14" s="5" t="inlineStr">
        <is>
          <t>rent_roll.units</t>
        </is>
      </c>
      <c r="G14" s="22" t="inlineStr">
        <is>
          <t>Unit-weighted across the uploaded roll.</t>
        </is>
      </c>
    </row>
    <row r="15">
      <c r="A15" s="21" t="inlineStr">
        <is>
          <t>summary.units_total</t>
        </is>
      </c>
      <c r="B15" s="5" t="inlineStr">
        <is>
          <t>24</t>
        </is>
      </c>
      <c r="C15" s="5" t="inlineStr">
        <is>
          <t>Wildflower Crossing Rent Roll.xlsx</t>
        </is>
      </c>
      <c r="D15" s="5" t="inlineStr">
        <is>
          <t>—</t>
        </is>
      </c>
      <c r="E15" s="5" t="inlineStr">
        <is>
          <t>derived</t>
        </is>
      </c>
      <c r="F15" s="5" t="inlineStr">
        <is>
          <t>rent_roll.units</t>
        </is>
      </c>
      <c r="G15" s="22" t="inlineStr">
        <is>
          <t>Counted from the rows of the uploaded rent roll.</t>
        </is>
      </c>
    </row>
    <row r="16">
      <c r="A16" s="21" t="inlineStr">
        <is>
          <t>trade_out.rows</t>
        </is>
      </c>
      <c r="B16" s="5" t="inlineStr">
        <is>
          <t>0 entries</t>
        </is>
      </c>
      <c r="C16" s="5" t="inlineStr">
        <is>
          <t>Not asked for by the upload demo</t>
        </is>
      </c>
      <c r="D16" s="5" t="inlineStr">
        <is>
          <t>—</t>
        </is>
      </c>
      <c r="E16" s="5" t="inlineStr">
        <is>
          <t>read</t>
        </is>
      </c>
      <c r="F16" s="10" t="n"/>
      <c r="G16" s="22" t="inlineStr">
        <is>
          <t>The upload demo does not ask for a lease trade-out report, so there is no basis for a new-versus-renewal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Underwriting Pipeline</dc:creator>
  <dcterms:created xsi:type="dcterms:W3CDTF">2026-10-21T00:00:00Z</dcterms:created>
  <dcterms:modified xsi:type="dcterms:W3CDTF">2026-10-21T00:00:00Z</dcterms:modified>
  <cp:lastModifiedBy>AI Underwriting Pipeline</cp:lastModifiedBy>
</cp:coreProperties>
</file>