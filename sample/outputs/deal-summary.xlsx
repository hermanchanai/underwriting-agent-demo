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 Summary" sheetId="1" state="visible" r:id="rId1"/>
    <sheet name="Rent Comps" sheetId="2" state="visible" r:id="rId2"/>
    <sheet name="Property Tax" sheetId="3" state="visible" r:id="rId3"/>
    <sheet name="Demand" sheetId="4" state="visible" r:id="rId4"/>
    <sheet name="Supply" sheetId="5" state="visible" r:id="rId5"/>
    <sheet name="Notes &amp; Disclosures" sheetId="6" state="visible" r:id="rId6"/>
    <sheet name="Audit Trail"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Calibri"/>
      <b val="1"/>
      <sz val="14"/>
    </font>
    <font>
      <name val="Calibri"/>
      <i val="1"/>
      <color rgb="00595959"/>
      <sz val="10"/>
    </font>
    <font>
      <name val="Calibri"/>
      <b val="1"/>
      <color rgb="00FFFFFF"/>
      <sz val="11"/>
    </font>
    <font>
      <name val="Calibri"/>
      <sz val="11"/>
    </font>
    <font>
      <name val="Calibri"/>
      <b val="1"/>
      <sz val="11"/>
    </font>
    <font>
      <name val="Calibri"/>
      <sz val="10"/>
    </font>
  </fonts>
  <fills count="4">
    <fill>
      <patternFill/>
    </fill>
    <fill>
      <patternFill patternType="gray125"/>
    </fill>
    <fill>
      <patternFill patternType="solid">
        <fgColor rgb="00595959"/>
      </patternFill>
    </fill>
    <fill>
      <patternFill patternType="solid">
        <fgColor rgb="00D9D9D9"/>
      </patternFill>
    </fill>
  </fills>
  <borders count="3">
    <border>
      <left/>
      <right/>
      <top/>
      <bottom/>
      <diagonal/>
    </border>
    <border>
      <bottom style="medium">
        <color rgb="0080808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0" pivotButton="0" quotePrefix="0" xfId="0"/>
    <xf numFmtId="49" fontId="4" fillId="0" borderId="0" pivotButton="0" quotePrefix="0" xfId="0"/>
    <xf numFmtId="0" fontId="2" fillId="0" borderId="0" applyAlignment="1" pivotButton="0" quotePrefix="0" xfId="0">
      <alignment vertical="top" wrapText="1"/>
    </xf>
    <xf numFmtId="3" fontId="4" fillId="0" borderId="0" pivotButton="0" quotePrefix="0" xfId="0"/>
    <xf numFmtId="1" fontId="4" fillId="0" borderId="0" pivotButton="0" quotePrefix="0" xfId="0"/>
    <xf numFmtId="10" fontId="4" fillId="0" borderId="0" pivotButton="0" quotePrefix="0" xfId="0"/>
    <xf numFmtId="164" fontId="4" fillId="0" borderId="0" pivotButton="0" quotePrefix="0" xfId="0"/>
    <xf numFmtId="165" fontId="4" fillId="0" borderId="0" pivotButton="0" quotePrefix="0" xfId="0"/>
    <xf numFmtId="0" fontId="4" fillId="0" borderId="0" pivotButton="0" quotePrefix="0" xfId="0"/>
    <xf numFmtId="0" fontId="5" fillId="0" borderId="0" pivotButton="0" quotePrefix="0" xfId="0"/>
    <xf numFmtId="0" fontId="5" fillId="3" borderId="2" applyAlignment="1" pivotButton="0" quotePrefix="0" xfId="0">
      <alignment vertical="top" wrapText="1"/>
    </xf>
    <xf numFmtId="49" fontId="4" fillId="0" borderId="0" applyAlignment="1" pivotButton="0" quotePrefix="0" xfId="0">
      <alignment vertical="top" wrapText="1"/>
    </xf>
    <xf numFmtId="3" fontId="0" fillId="0" borderId="0" pivotButton="0" quotePrefix="0" xfId="0"/>
    <xf numFmtId="4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62" customWidth="1" min="3" max="3"/>
  </cols>
  <sheetData>
    <row r="1">
      <c r="A1" s="1" t="inlineStr">
        <is>
          <t>Deal summary</t>
        </is>
      </c>
    </row>
    <row r="2">
      <c r="A2" s="2" t="inlineStr">
        <is>
          <t>Wildflower Crossing — as of 2025-11-12</t>
        </is>
      </c>
    </row>
    <row r="3">
      <c r="A3" s="2" t="inlineStr">
        <is>
          <t>AI Underwriting Pipeline — Sample Outputs</t>
        </is>
      </c>
    </row>
    <row r="4">
      <c r="A4" s="3" t="n"/>
      <c r="B4" s="3" t="n"/>
      <c r="C4" s="3" t="n"/>
      <c r="D4" s="3" t="n"/>
      <c r="E4" s="3" t="n"/>
      <c r="F4" s="3" t="n"/>
      <c r="G4" s="3" t="n"/>
      <c r="H4" s="3" t="n"/>
    </row>
    <row r="5">
      <c r="A5" s="4" t="inlineStr">
        <is>
          <t>Identification</t>
        </is>
      </c>
      <c r="B5" s="4" t="n"/>
      <c r="C5" s="4" t="n"/>
    </row>
    <row r="6">
      <c r="A6" s="5" t="inlineStr">
        <is>
          <t>Deal name</t>
        </is>
      </c>
      <c r="B6" s="5" t="inlineStr">
        <is>
          <t>Wildflower Crossing</t>
        </is>
      </c>
      <c r="D6" s="6" t="inlineStr">
        <is>
          <t>Wildflower Crossing Offering Memorandum.pdf — p.1</t>
        </is>
      </c>
    </row>
    <row r="7">
      <c r="A7" s="5" t="inlineStr">
        <is>
          <t>Street address</t>
        </is>
      </c>
      <c r="B7" s="5" t="inlineStr">
        <is>
          <t>100 Example Way</t>
        </is>
      </c>
      <c r="D7" s="6" t="inlineStr">
        <is>
          <t>Wildflower Crossing Offering Memorandum.pdf — p.1</t>
        </is>
      </c>
    </row>
    <row r="8">
      <c r="A8" s="5" t="inlineStr">
        <is>
          <t>City</t>
        </is>
      </c>
      <c r="B8" s="5" t="inlineStr">
        <is>
          <t>Mesa</t>
        </is>
      </c>
      <c r="D8" s="6" t="inlineStr">
        <is>
          <t>Wildflower Crossing Offering Memorandum.pdf — p.1</t>
        </is>
      </c>
    </row>
    <row r="9">
      <c r="A9" s="5" t="inlineStr">
        <is>
          <t>State</t>
        </is>
      </c>
      <c r="B9" s="5" t="inlineStr">
        <is>
          <t>AZ</t>
        </is>
      </c>
      <c r="D9" s="6" t="inlineStr">
        <is>
          <t>Wildflower Crossing Offering Memorandum.pdf — p.1</t>
        </is>
      </c>
    </row>
    <row r="10">
      <c r="A10" s="5" t="inlineStr">
        <is>
          <t>ZIP</t>
        </is>
      </c>
      <c r="B10" s="5" t="inlineStr">
        <is>
          <t>85204</t>
        </is>
      </c>
      <c r="D10" s="6" t="inlineStr">
        <is>
          <t>Wildflower Crossing Offering Memorandum.pdf — p.1</t>
        </is>
      </c>
    </row>
    <row r="11">
      <c r="A11" s="5" t="inlineStr">
        <is>
          <t>County</t>
        </is>
      </c>
      <c r="B11" s="5" t="inlineStr">
        <is>
          <t>Maricopa</t>
        </is>
      </c>
      <c r="D11" s="6" t="inlineStr">
        <is>
          <t>Wildflower Crossing Offering Memorandum.pdf — p.1</t>
        </is>
      </c>
    </row>
    <row r="12">
      <c r="A12" s="5" t="inlineStr">
        <is>
          <t>MSA</t>
        </is>
      </c>
      <c r="B12" s="5" t="inlineStr">
        <is>
          <t>MISSING</t>
        </is>
      </c>
      <c r="D12" s="6" t="inlineStr">
        <is>
          <t>Not stated in the uploaded documents</t>
        </is>
      </c>
    </row>
    <row r="13">
      <c r="A13" s="5" t="inlineStr">
        <is>
          <t>Address resolved from</t>
        </is>
      </c>
      <c r="B13" s="5" t="inlineStr">
        <is>
          <t>Internal pipeline only</t>
        </is>
      </c>
      <c r="C13" s="6" t="inlineStr">
        <is>
          <t>The internal pipeline geocodes the address and records how it resolved; the demo takes the address as the memorandum states it.</t>
        </is>
      </c>
    </row>
    <row r="15">
      <c r="A15" s="4" t="inlineStr">
        <is>
          <t>Property</t>
        </is>
      </c>
      <c r="B15" s="4" t="n"/>
      <c r="C15" s="4" t="n"/>
    </row>
    <row r="16">
      <c r="A16" s="5" t="inlineStr">
        <is>
          <t>Product type</t>
        </is>
      </c>
      <c r="B16" s="5" t="inlineStr">
        <is>
          <t>build-for-rent</t>
        </is>
      </c>
      <c r="D16" s="6" t="inlineStr">
        <is>
          <t>Wildflower Crossing Offering Memorandum.pdf — p.1</t>
        </is>
      </c>
    </row>
    <row r="17">
      <c r="A17" s="5" t="inlineStr">
        <is>
          <t>Structure</t>
        </is>
      </c>
      <c r="B17" s="5" t="inlineStr">
        <is>
          <t>MISSING</t>
        </is>
      </c>
      <c r="D17" s="6" t="inlineStr">
        <is>
          <t>Not stated in the uploaded documents</t>
        </is>
      </c>
    </row>
    <row r="18">
      <c r="A18" s="5" t="inlineStr">
        <is>
          <t>Unit count</t>
        </is>
      </c>
      <c r="B18" s="7" t="n">
        <v>24</v>
      </c>
      <c r="C18" s="6" t="inlineStr">
        <is>
          <t>Divisor for every per-unit figure in the output set.</t>
        </is>
      </c>
      <c r="D18" s="6" t="inlineStr">
        <is>
          <t>Wildflower Crossing Rent Roll.xlsx (derived)</t>
        </is>
      </c>
    </row>
    <row r="19">
      <c r="A19" s="5" t="inlineStr">
        <is>
          <t>Year built</t>
        </is>
      </c>
      <c r="B19" s="8" t="n">
        <v>2021</v>
      </c>
      <c r="D19" s="6" t="inlineStr">
        <is>
          <t>Wildflower Crossing Offering Memorandum.pdf — p.1</t>
        </is>
      </c>
    </row>
    <row r="20">
      <c r="A20" s="5" t="inlineStr">
        <is>
          <t>Product detail</t>
        </is>
      </c>
      <c r="B20" s="5" t="inlineStr">
        <is>
          <t>MISSING</t>
        </is>
      </c>
      <c r="D20" s="6" t="inlineStr">
        <is>
          <t>Not stated in the uploaded documents</t>
        </is>
      </c>
    </row>
    <row r="21">
      <c r="A21" s="5" t="inlineStr">
        <is>
          <t>Construction status</t>
        </is>
      </c>
      <c r="B21" s="5" t="inlineStr">
        <is>
          <t>MISSING</t>
        </is>
      </c>
      <c r="D21" s="6" t="inlineStr">
        <is>
          <t>Not stated in the uploaded documents</t>
        </is>
      </c>
    </row>
    <row r="22">
      <c r="A22" s="5" t="inlineStr">
        <is>
          <t>Delivery / CO date</t>
        </is>
      </c>
      <c r="B22" s="5" t="inlineStr">
        <is>
          <t>MISSING</t>
        </is>
      </c>
      <c r="D22" s="6" t="inlineStr">
        <is>
          <t>Not stated in the uploaded documents</t>
        </is>
      </c>
    </row>
    <row r="24">
      <c r="A24" s="4" t="inlineStr">
        <is>
          <t>Parties</t>
        </is>
      </c>
      <c r="B24" s="4" t="n"/>
      <c r="C24" s="4" t="n"/>
    </row>
    <row r="25">
      <c r="A25" s="5" t="inlineStr">
        <is>
          <t>Seller entity</t>
        </is>
      </c>
      <c r="B25" s="5" t="inlineStr">
        <is>
          <t>MISSING</t>
        </is>
      </c>
      <c r="D25" s="6" t="inlineStr">
        <is>
          <t>Not stated in the uploaded documents</t>
        </is>
      </c>
    </row>
    <row r="26">
      <c r="A26" s="5" t="inlineStr">
        <is>
          <t>Listing brokerage</t>
        </is>
      </c>
      <c r="B26" s="5" t="inlineStr">
        <is>
          <t>MISSING</t>
        </is>
      </c>
      <c r="D26" s="6" t="inlineStr">
        <is>
          <t>Not stated in the uploaded documents</t>
        </is>
      </c>
    </row>
    <row r="27">
      <c r="A27" s="5" t="inlineStr">
        <is>
          <t>Deal status</t>
        </is>
      </c>
      <c r="B27" s="5" t="inlineStr">
        <is>
          <t>MISSING</t>
        </is>
      </c>
      <c r="D27" s="6" t="inlineStr">
        <is>
          <t>Not stated in the uploaded documents</t>
        </is>
      </c>
    </row>
    <row r="29">
      <c r="A29" s="4" t="inlineStr">
        <is>
          <t>Pricing</t>
        </is>
      </c>
      <c r="B29" s="4" t="n"/>
      <c r="C29" s="4" t="n"/>
    </row>
    <row r="30">
      <c r="A30" s="5" t="inlineStr">
        <is>
          <t>Pricing guidance</t>
        </is>
      </c>
      <c r="B30" s="5" t="inlineStr">
        <is>
          <t>$215,000 per unit (entered on the upload form); the memorandum's own figure is $308,333 per unit (a stated total of $7,400,000 over 24 units, +43.4% against the price entered)</t>
        </is>
      </c>
      <c r="D30" s="6" t="inlineStr">
        <is>
          <t>Wildflower Crossing Offering Memorandum.pdf — p.1</t>
        </is>
      </c>
    </row>
    <row r="31">
      <c r="A31" s="5" t="inlineStr">
        <is>
          <t>Price per unit</t>
        </is>
      </c>
      <c r="B31" s="7" t="n">
        <v>215000</v>
      </c>
      <c r="C31" s="6" t="inlineStr">
        <is>
          <t>Pricing is as stated in the uploaded documents or the notes box, not a market opinion.</t>
        </is>
      </c>
    </row>
    <row r="32">
      <c r="A32" s="5" t="inlineStr">
        <is>
          <t>Total price</t>
        </is>
      </c>
      <c r="B32" s="7">
        <f>B31*B18</f>
        <v/>
      </c>
      <c r="C32" s="6" t="inlineStr">
        <is>
          <t>Price per unit times unit count.</t>
        </is>
      </c>
    </row>
    <row r="33">
      <c r="A33" s="5" t="inlineStr">
        <is>
          <t>Approximate project value</t>
        </is>
      </c>
      <c r="B33" s="7">
        <f>B32</f>
        <v/>
      </c>
    </row>
    <row r="34">
      <c r="A34" s="5" t="inlineStr">
        <is>
          <t>T-12 net operating income</t>
        </is>
      </c>
      <c r="B34" s="7" t="n">
        <v>320597.5200000001</v>
      </c>
      <c r="C34" s="6" t="inlineStr">
        <is>
          <t>From the T-12 analysis workbook's P&amp;L rollup.</t>
        </is>
      </c>
    </row>
    <row r="35">
      <c r="A35" s="5" t="inlineStr">
        <is>
          <t>T-12 cap rate</t>
        </is>
      </c>
      <c r="B35" s="9">
        <f>IFERROR(B34/B32,"")</f>
        <v/>
      </c>
    </row>
    <row r="36">
      <c r="A36" s="5" t="inlineStr">
        <is>
          <t>T-3 net operating income (annualized)</t>
        </is>
      </c>
      <c r="B36" s="7" t="n">
        <v>326379.8400000001</v>
      </c>
      <c r="C36" s="6" t="inlineStr">
        <is>
          <t>Trailing three months times four.</t>
        </is>
      </c>
    </row>
    <row r="37">
      <c r="A37" s="5" t="inlineStr">
        <is>
          <t>T-3 cap rate</t>
        </is>
      </c>
      <c r="B37" s="9">
        <f>IFERROR(B36/B32,"")</f>
        <v/>
      </c>
    </row>
    <row r="39">
      <c r="A39" s="4" t="inlineStr">
        <is>
          <t>Rents</t>
        </is>
      </c>
      <c r="B39" s="4" t="n"/>
      <c r="C39" s="4" t="n"/>
    </row>
    <row r="40">
      <c r="A40" s="5" t="inlineStr">
        <is>
          <t>In-place rent (avg)</t>
        </is>
      </c>
      <c r="B40" s="7" t="n">
        <v>2456.67</v>
      </c>
      <c r="D40" s="6" t="inlineStr">
        <is>
          <t>Wildflower Crossing Rent Roll.xlsx (derived)</t>
        </is>
      </c>
    </row>
    <row r="41">
      <c r="A41" s="5" t="inlineStr">
        <is>
          <t>Market rent for model</t>
        </is>
      </c>
      <c r="B41" s="7" t="n">
        <v>2456.67</v>
      </c>
      <c r="C41" s="6" t="inlineStr">
        <is>
          <t>New move-in rent (residents who moved in inside the lookback window, by move-in date) where the plan has one, otherwise in-place (in-place outright when the roll has no usable lease start or move-in date). Never a blend of new and renewal.</t>
        </is>
      </c>
      <c r="D41" s="6" t="inlineStr">
        <is>
          <t>Wildflower Crossing Rent Roll.xlsx (derived)</t>
        </is>
      </c>
    </row>
    <row r="42">
      <c r="A42" s="5" t="inlineStr">
        <is>
          <t>Fair market value</t>
        </is>
      </c>
      <c r="B42" s="5" t="inlineStr">
        <is>
          <t>Internal pipeline only</t>
        </is>
      </c>
      <c r="C42" s="6" t="inlineStr">
        <is>
          <t>The internal pipeline pulls a market value by web lookup; the demo does not reach the web.</t>
        </is>
      </c>
      <c r="D42" s="6" t="inlineStr">
        <is>
          <t>Not stated in the uploaded documents</t>
        </is>
      </c>
    </row>
    <row r="44">
      <c r="A44" s="4" t="inlineStr">
        <is>
          <t>Taxes</t>
        </is>
      </c>
      <c r="B44" s="4" t="n"/>
      <c r="C44" s="4" t="n"/>
    </row>
    <row r="45">
      <c r="A45" s="5" t="inlineStr">
        <is>
          <t>Tax rate as billed</t>
        </is>
      </c>
      <c r="B45" s="10" t="n">
        <v>10.2573</v>
      </c>
      <c r="C45" s="6" t="inlineStr">
        <is>
          <t>Rate as actually billed — not a statutory or effective rate.</t>
        </is>
      </c>
      <c r="D45" s="6" t="inlineStr">
        <is>
          <t>Vendored county rate table — property_tax_table.COUNTY_RATES[('AZ', 'maricopa')]</t>
        </is>
      </c>
    </row>
    <row r="46">
      <c r="A46" s="5" t="inlineStr">
        <is>
          <t>Assessed value basis</t>
        </is>
      </c>
      <c r="B46" s="5" t="inlineStr">
        <is>
          <t>Internal pipeline only</t>
        </is>
      </c>
      <c r="C46" s="6" t="inlineStr">
        <is>
          <t>See parcel: read off the county assessor's portal by the internal pipeline only.</t>
        </is>
      </c>
      <c r="D46" s="6" t="inlineStr">
        <is>
          <t>Internal pipeline only</t>
        </is>
      </c>
    </row>
    <row r="47">
      <c r="A47" s="5" t="inlineStr">
        <is>
          <t>Assessment ratio</t>
        </is>
      </c>
      <c r="B47" s="11" t="n">
        <v>0.1</v>
      </c>
      <c r="D47" s="6" t="inlineStr">
        <is>
          <t>Vendored county rate table — property_tax_table.STATE_RULES['AZ']</t>
        </is>
      </c>
    </row>
    <row r="48">
      <c r="A48" s="5" t="inlineStr">
        <is>
          <t>Tax divisor</t>
        </is>
      </c>
      <c r="B48" s="7" t="n">
        <v>100</v>
      </c>
      <c r="D48" s="6" t="inlineStr">
        <is>
          <t>Vendored county rate table — property_tax_table.STATE_RULES['AZ']</t>
        </is>
      </c>
    </row>
    <row r="49">
      <c r="A49" s="5" t="inlineStr">
        <is>
          <t>Tax exemption</t>
        </is>
      </c>
      <c r="B49" s="5" t="inlineStr">
        <is>
          <t>Internal pipeline only</t>
        </is>
      </c>
      <c r="C49" s="6" t="inlineStr">
        <is>
          <t>See parcel: read off the county assessor's portal by the internal pipeline only.</t>
        </is>
      </c>
      <c r="D49" s="6" t="inlineStr">
        <is>
          <t>Internal pipeline only</t>
        </is>
      </c>
    </row>
    <row r="50">
      <c r="A50" s="5" t="inlineStr">
        <is>
          <t>Parcel / APN</t>
        </is>
      </c>
      <c r="B50" s="5" t="inlineStr">
        <is>
          <t>MISSING</t>
        </is>
      </c>
      <c r="C50" s="6" t="inlineStr">
        <is>
          <t>The parcel the bill is issued against.</t>
        </is>
      </c>
    </row>
    <row r="51">
      <c r="A51" s="5" t="inlineStr">
        <is>
          <t>Tax area code</t>
        </is>
      </c>
      <c r="B51" s="5" t="inlineStr">
        <is>
          <t>MISSING</t>
        </is>
      </c>
      <c r="C51" s="6" t="inlineStr">
        <is>
          <t>Determines which published rate row applies.</t>
        </is>
      </c>
    </row>
    <row r="52">
      <c r="A52" s="5" t="inlineStr">
        <is>
          <t>Basis label</t>
        </is>
      </c>
      <c r="B52" s="5" t="inlineStr">
        <is>
          <t>Limited property value (LPV), per the county assessor</t>
        </is>
      </c>
      <c r="C52" s="6" t="inlineStr">
        <is>
          <t>Arizona taxes the limited property value, not the price. Under Proposition 117 (Ariz. Const. art. IX sec. 18; A.R.S. sec. 42-13301) the LPV rises at most 5% a year and does not reset on sale, so a buyer inherits the seller's basis and tax priced off the purchase price overstates the bill — roughly threefold on the showcase parcel. With no assessor value on file, no year-one estimate is asserted. The rate table's 'approx residential primary' column is the class-3 owner-occupied rebate (A.R.S. sec. 15-972) and does not apply to a rental; the full primary plus secondary rate is the one billed.</t>
        </is>
      </c>
    </row>
    <row r="53">
      <c r="A53" s="5" t="inlineStr">
        <is>
          <t>Computed annual tax</t>
        </is>
      </c>
      <c r="B53" s="7">
        <f>IFERROR(B46*B47/B48*B45-B49,"MISSING")</f>
        <v/>
      </c>
      <c r="C53"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t>
        </is>
      </c>
    </row>
    <row r="54">
      <c r="A54" s="5" t="inlineStr">
        <is>
          <t>Computed tax per unit</t>
        </is>
      </c>
      <c r="B54" s="7">
        <f>IFERROR(B53/B18,"MISSING")</f>
        <v/>
      </c>
    </row>
    <row r="55">
      <c r="A55" s="5" t="inlineStr">
        <is>
          <t>Billed by the county (MISSING)</t>
        </is>
      </c>
      <c r="B55" s="5" t="inlineStr">
        <is>
          <t>MISSING</t>
        </is>
      </c>
      <c r="C55" s="6" t="inlineStr">
        <is>
          <t>The county's own figure, for the cross-check below.</t>
        </is>
      </c>
    </row>
    <row r="56">
      <c r="A56" s="5" t="inlineStr">
        <is>
          <t>Check: computed vs billed</t>
        </is>
      </c>
      <c r="B56" s="12">
        <f>IF(OR(NOT(ISNUMBER(B53)),NOT(ISNUMBER(B55)),B55=0),"NOT CHECKED",IF(ABS(B53-B55)/B55&lt;=0.02,"ties","REVIEW"))</f>
        <v/>
      </c>
      <c r="C56" s="6" t="inlineStr">
        <is>
          <t>A computed tax that cannot be tied to the actual bill is an estimate wearing the clothes of a fact.</t>
        </is>
      </c>
    </row>
    <row r="57">
      <c r="A57" s="5" t="inlineStr">
        <is>
          <t>Check: difference</t>
        </is>
      </c>
      <c r="B57" s="7">
        <f>IFERROR(B53-B55,"")</f>
        <v/>
      </c>
    </row>
    <row r="59">
      <c r="A59" s="4" t="inlineStr">
        <is>
          <t>Closing costs at the illustrative price</t>
        </is>
      </c>
      <c r="B59" s="4" t="n"/>
      <c r="C59" s="4" t="n"/>
    </row>
    <row r="60">
      <c r="A60" s="5" t="inlineStr">
        <is>
          <t>Transfer tax</t>
        </is>
      </c>
      <c r="B60" s="5" t="inlineStr">
        <is>
          <t>NOT ASSERTED</t>
        </is>
      </c>
      <c r="C60" s="6" t="inlineStr">
        <is>
          <t>Not looked up · Not run in the upload demo. This section needs data sources the demo does not reach, so it is left empty rather than filled with placeholders.</t>
        </is>
      </c>
    </row>
    <row r="61">
      <c r="A61" s="5" t="inlineStr">
        <is>
          <t>Mortgage / recording tax</t>
        </is>
      </c>
      <c r="B61" s="5" t="inlineStr">
        <is>
          <t>NOT ASSERTED</t>
        </is>
      </c>
      <c r="C61" s="6" t="inlineStr">
        <is>
          <t>Not looked up · Not run in the upload demo. This section needs data sources the demo does not reach, so it is left empty rather than filled with placeholders.</t>
        </is>
      </c>
    </row>
    <row r="62">
      <c r="A62" s="5" t="inlineStr">
        <is>
          <t>Closing-cost basis</t>
        </is>
      </c>
      <c r="B62" s="7" t="n">
        <v>5160000</v>
      </c>
      <c r="C62" s="6" t="inlineStr">
        <is>
          <t>Not run in the upload demo. This section needs data sources the demo does not reach, so it is left empty rather than filled with placeholders.</t>
        </is>
      </c>
    </row>
    <row r="64">
      <c r="A64" s="4" t="inlineStr">
        <is>
          <t>Schools</t>
        </is>
      </c>
      <c r="B64" s="4" t="n"/>
      <c r="C64" s="4" t="n"/>
    </row>
    <row r="65">
      <c r="A65" s="5" t="inlineStr">
        <is>
          <t>Elementary school</t>
        </is>
      </c>
      <c r="B65" s="5" t="inlineStr">
        <is>
          <t>Internal pipeline only</t>
        </is>
      </c>
      <c r="C65" s="6" t="inlineStr">
        <is>
          <t>The internal pipeline looks up the attendance-zone elementary, middle and high school and their public ratings; the demo reads a school name only where the memorandum states one and never rates it.</t>
        </is>
      </c>
      <c r="D65" s="6" t="inlineStr">
        <is>
          <t>Not stated in the uploaded documents</t>
        </is>
      </c>
    </row>
    <row r="66">
      <c r="A66" s="5" t="inlineStr">
        <is>
          <t>Elementary rating</t>
        </is>
      </c>
      <c r="B66" s="5" t="inlineStr">
        <is>
          <t>Internal pipeline only</t>
        </is>
      </c>
      <c r="C66" s="6" t="inlineStr">
        <is>
          <t>The internal pipeline looks up the attendance-zone elementary, middle and high school and their public ratings; the demo reads a school name only where the memorandum states one and never rates it.</t>
        </is>
      </c>
    </row>
    <row r="67">
      <c r="A67" s="5" t="inlineStr">
        <is>
          <t>Middle school</t>
        </is>
      </c>
      <c r="B67" s="5" t="inlineStr">
        <is>
          <t>Internal pipeline only</t>
        </is>
      </c>
      <c r="C67" s="6" t="inlineStr">
        <is>
          <t>The internal pipeline looks up the attendance-zone elementary, middle and high school and their public ratings; the demo reads a school name only where the memorandum states one and never rates it.</t>
        </is>
      </c>
      <c r="D67" s="6" t="inlineStr">
        <is>
          <t>Not stated in the uploaded documents</t>
        </is>
      </c>
    </row>
    <row r="68">
      <c r="A68" s="5" t="inlineStr">
        <is>
          <t>Middle rating</t>
        </is>
      </c>
      <c r="B68" s="5" t="inlineStr">
        <is>
          <t>Internal pipeline only</t>
        </is>
      </c>
      <c r="C68" s="6" t="inlineStr">
        <is>
          <t>The internal pipeline looks up the attendance-zone elementary, middle and high school and their public ratings; the demo reads a school name only where the memorandum states one and never rates it.</t>
        </is>
      </c>
    </row>
    <row r="69">
      <c r="A69" s="5" t="inlineStr">
        <is>
          <t>High school</t>
        </is>
      </c>
      <c r="B69" s="5" t="inlineStr">
        <is>
          <t>Internal pipeline only</t>
        </is>
      </c>
      <c r="C69" s="6" t="inlineStr">
        <is>
          <t>The internal pipeline looks up the attendance-zone elementary, middle and high school and their public ratings; the demo reads a school name only where the memorandum states one and never rates it.</t>
        </is>
      </c>
      <c r="D69" s="6" t="inlineStr">
        <is>
          <t>Not stated in the uploaded documents</t>
        </is>
      </c>
    </row>
    <row r="70">
      <c r="A70" s="5" t="inlineStr">
        <is>
          <t>High rating</t>
        </is>
      </c>
      <c r="B70" s="5" t="inlineStr">
        <is>
          <t>Internal pipeline only</t>
        </is>
      </c>
      <c r="C70" s="6" t="inlineStr">
        <is>
          <t>The internal pipeline looks up the attendance-zone elementary, middle and high school and their public ratings; the demo reads a school name only where the memorandum states one and never rates it.</t>
        </is>
      </c>
    </row>
    <row r="72">
      <c r="A72" s="4" t="inlineStr">
        <is>
          <t>Notes</t>
        </is>
      </c>
      <c r="B72" s="4" t="n"/>
      <c r="C72" s="4" t="n"/>
    </row>
    <row r="73">
      <c r="A73" s="5" t="inlineStr">
        <is>
          <t>Notes</t>
        </is>
      </c>
      <c r="B73" s="5" t="inlineStr">
        <is>
          <t>Generated by the upload demo from the documents supplied with this run. Every field reads MISSING unless a document stated it; nothing here is inferred to fill a gap. No licensed data source was used and no price is assumed.</t>
        </is>
      </c>
    </row>
    <row r="75">
      <c r="A75" s="4" t="inlineStr">
        <is>
          <t>Boundaries</t>
        </is>
      </c>
      <c r="B75" s="4" t="n"/>
      <c r="C75" s="4" t="n"/>
    </row>
    <row r="76">
      <c r="A76" s="13" t="inlineStr">
        <is>
          <t>Excluded by design</t>
        </is>
      </c>
      <c r="B76" t="inlineStr">
        <is>
          <t>Third-party licensed rent-comp feeds</t>
        </is>
      </c>
    </row>
    <row r="77">
      <c r="A77" s="13" t="inlineStr">
        <is>
          <t>Excluded by design</t>
        </is>
      </c>
      <c r="B77" t="inlineStr">
        <is>
          <t>Subscription market-data providers</t>
        </is>
      </c>
    </row>
    <row r="78">
      <c r="A78" s="13" t="inlineStr">
        <is>
          <t>Excluded by design</t>
        </is>
      </c>
      <c r="B78" t="inlineStr">
        <is>
          <t>Any comparable-rent, demographic or supply source — the upload demo does not reach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00" customWidth="1" min="1" max="1"/>
  </cols>
  <sheetData>
    <row r="1">
      <c r="A1" s="1" t="inlineStr">
        <is>
          <t>Rent comps</t>
        </is>
      </c>
    </row>
    <row r="2">
      <c r="A2" s="2" t="inlineStr">
        <is>
          <t>Wildflower Crossing — as of 2025-11-12</t>
        </is>
      </c>
    </row>
    <row r="3">
      <c r="A3" s="2" t="inlineStr">
        <is>
          <t>Source: the operator's own weekly rent scrape. Asking and net effective are stated separately on every row — a concession-blind comp set is the most common way a rent assumption goes wrong. No licensed comp feed is used.</t>
        </is>
      </c>
    </row>
    <row r="4">
      <c r="A4" s="3" t="n"/>
      <c r="B4" s="3" t="n"/>
      <c r="C4" s="3" t="n"/>
      <c r="D4" s="3" t="n"/>
      <c r="E4" s="3" t="n"/>
      <c r="F4" s="3" t="n"/>
      <c r="G4" s="3" t="n"/>
      <c r="H4" s="3" t="n"/>
    </row>
    <row r="5">
      <c r="A5" s="13" t="inlineStr">
        <is>
          <t>No comparable rent data</t>
        </is>
      </c>
    </row>
    <row r="6">
      <c r="A6" t="inlineStr">
        <is>
          <t>Not run: the market-report service is not part of this offline build, so demand, supply and rent comps were not requested.</t>
        </is>
      </c>
    </row>
    <row r="8">
      <c r="A8" s="4" t="inlineStr">
        <is>
          <t>Stated in the offering memorandum</t>
        </is>
      </c>
      <c r="B8" s="4" t="n"/>
      <c r="C8" s="4" t="n"/>
      <c r="D8" s="4" t="n"/>
      <c r="E8" s="4" t="n"/>
      <c r="F8" s="4" t="n"/>
      <c r="G8" s="4" t="n"/>
      <c r="H8" s="4" t="n"/>
      <c r="I8" s="4" t="n"/>
      <c r="J8" s="4" t="n"/>
    </row>
    <row r="9">
      <c r="A9" s="2" t="inlineStr">
        <is>
          <t>the memorandum states no comparables</t>
        </is>
      </c>
    </row>
    <row r="10">
      <c r="A10" s="6" t="inlineStr">
        <is>
          <t>Retail for-sale comps are not part of this demo. Sale comparables shown here are the whole-community trades the memorandum itself cites.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Property tax</t>
        </is>
      </c>
    </row>
    <row r="2">
      <c r="A2" s="2" t="inlineStr">
        <is>
          <t>Wildflower Crossing — as of 2025-11-12</t>
        </is>
      </c>
    </row>
    <row r="3">
      <c r="A3" s="2" t="inlineStr">
        <is>
          <t>Rates as actually billed, not statutory or effective. The current-year block is checked against the county's own bill; the assumption block is what a buyer should carry at the illustrative price.</t>
        </is>
      </c>
    </row>
    <row r="4">
      <c r="A4" s="3" t="n"/>
      <c r="B4" s="3" t="n"/>
      <c r="C4" s="3" t="n"/>
      <c r="D4" s="3" t="n"/>
      <c r="E4" s="3" t="n"/>
      <c r="F4" s="3" t="n"/>
      <c r="G4" s="3" t="n"/>
      <c r="H4" s="3" t="n"/>
    </row>
    <row r="5">
      <c r="A5" s="4" t="inlineStr">
        <is>
          <t>The rate, as billed</t>
        </is>
      </c>
      <c r="B5" s="4" t="n"/>
      <c r="C5" s="4" t="n"/>
      <c r="D5" s="4" t="n"/>
    </row>
    <row r="6">
      <c r="A6" s="5" t="inlineStr">
        <is>
          <t>Parcel</t>
        </is>
      </c>
      <c r="B6" s="5" t="inlineStr">
        <is>
          <t>Internal pipeline only</t>
        </is>
      </c>
      <c r="C6" s="6" t="inlineStr">
        <is>
          <t>The internal pipeline reads the parcel, tax district, assessed value, exemption and billed amount off the county assessor's portal; the demo shows the county's published rate only.</t>
        </is>
      </c>
      <c r="D6" s="6" t="inlineStr">
        <is>
          <t>Internal pipeline only</t>
        </is>
      </c>
    </row>
    <row r="7">
      <c r="A7" s="5" t="inlineStr">
        <is>
          <t>Tax area code</t>
        </is>
      </c>
      <c r="B7" s="5" t="inlineStr">
        <is>
          <t>Internal pipeline only</t>
        </is>
      </c>
      <c r="C7" s="6" t="inlineStr">
        <is>
          <t>See parcel: read off the county assessor's portal by the internal pipeline only.</t>
        </is>
      </c>
      <c r="D7" s="6" t="inlineStr">
        <is>
          <t>Internal pipeline only</t>
        </is>
      </c>
    </row>
    <row r="8">
      <c r="A8" s="5" t="inlineStr">
        <is>
          <t>Combined rate (per $100 of assessed value)</t>
        </is>
      </c>
      <c r="B8" s="10" t="n">
        <v>10.2573</v>
      </c>
      <c r="C8" s="6" t="inlineStr">
        <is>
          <t>Rate as actually billed — not a statutory or effective rate.</t>
        </is>
      </c>
      <c r="D8" s="6" t="inlineStr">
        <is>
          <t>Vendored county rate table — property_tax_table.COUNTY_RATES[('AZ', 'maricopa')]</t>
        </is>
      </c>
    </row>
    <row r="9">
      <c r="A9" s="5" t="inlineStr">
        <is>
          <t>Assessment ratio (legal class)</t>
        </is>
      </c>
      <c r="B9" s="11" t="n">
        <v>0.1</v>
      </c>
      <c r="D9" s="6" t="inlineStr">
        <is>
          <t>Vendored county rate table — property_tax_table.STATE_RULES['AZ']</t>
        </is>
      </c>
    </row>
    <row r="10">
      <c r="A10" s="5" t="inlineStr">
        <is>
          <t>Rate evidence</t>
        </is>
      </c>
      <c r="B10" s="12" t="n"/>
      <c r="C10"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t>
        </is>
      </c>
    </row>
    <row r="11"/>
    <row r="12">
      <c r="A12" s="4" t="inlineStr">
        <is>
          <t>Current year — computed, then checked against the bill</t>
        </is>
      </c>
      <c r="B12" s="4" t="n"/>
      <c r="C12" s="4" t="n"/>
      <c r="D12" s="4" t="n"/>
    </row>
    <row r="13">
      <c r="A13" s="5" t="inlineStr">
        <is>
          <t>Assessed-value basis</t>
        </is>
      </c>
      <c r="B13" s="12" t="n"/>
      <c r="C13" s="6" t="inlineStr">
        <is>
          <t>Limited property value (LPV), per the county assessor</t>
        </is>
      </c>
      <c r="D13" s="6" t="inlineStr">
        <is>
          <t>Internal pipeline only</t>
        </is>
      </c>
    </row>
    <row r="14">
      <c r="A14" s="5" t="inlineStr">
        <is>
          <t>Assessment ratio</t>
        </is>
      </c>
      <c r="B14" s="11" t="n">
        <v>0.1</v>
      </c>
    </row>
    <row r="15">
      <c r="A15" s="5" t="inlineStr">
        <is>
          <t>Assessed value</t>
        </is>
      </c>
      <c r="B15" s="7">
        <f>B13*B14</f>
        <v/>
      </c>
      <c r="C15" s="6" t="inlineStr">
        <is>
          <t>Basis times the legal-class ratio.</t>
        </is>
      </c>
    </row>
    <row r="16">
      <c r="A16" s="5" t="inlineStr">
        <is>
          <t>Combined rate</t>
        </is>
      </c>
      <c r="B16" s="10" t="n">
        <v>10.2573</v>
      </c>
    </row>
    <row r="17">
      <c r="A17" s="5" t="inlineStr">
        <is>
          <t>Rate divisor (per)</t>
        </is>
      </c>
      <c r="B17" s="7" t="n">
        <v>100</v>
      </c>
      <c r="C17" s="6" t="inlineStr">
        <is>
          <t>The rate's unit. Never defaulted: it decides whether the rate is per $100 or per $1,000.</t>
        </is>
      </c>
    </row>
    <row r="18">
      <c r="A18" s="5" t="inlineStr">
        <is>
          <t>Exemption</t>
        </is>
      </c>
      <c r="B18" s="7" t="n">
        <v>0</v>
      </c>
      <c r="C18" s="6" t="inlineStr">
        <is>
          <t>Normalized: an unstated exemption is zero here, which is what the computed figure assumes.</t>
        </is>
      </c>
      <c r="D18" s="6" t="inlineStr">
        <is>
          <t>Internal pipeline only</t>
        </is>
      </c>
    </row>
    <row r="19">
      <c r="A19" s="5" t="inlineStr">
        <is>
          <t>Computed annual tax</t>
        </is>
      </c>
      <c r="B19" s="7">
        <f>IF(AND(ISNUMBER(B15),ISNUMBER(B16),ISNUMBER(B17)),MAX(0,B15*B16/B17-B18),"MISSING")</f>
        <v/>
      </c>
      <c r="C19" s="6" t="inlineStr">
        <is>
          <t>Assessed value times rate over the divisor, less any exemption. A missing divisor reads MISSING rather than assuming one.</t>
        </is>
      </c>
    </row>
    <row r="20">
      <c r="A20" s="5" t="inlineStr">
        <is>
          <t>County billed amount</t>
        </is>
      </c>
      <c r="B20" s="5" t="inlineStr">
        <is>
          <t>MISSING</t>
        </is>
      </c>
      <c r="C20" s="6" t="inlineStr">
        <is>
          <t>As billed for a year the source did not state.</t>
        </is>
      </c>
      <c r="D20" s="6" t="inlineStr">
        <is>
          <t>Internal pipeline only</t>
        </is>
      </c>
    </row>
    <row r="21">
      <c r="A21" s="5" t="inlineStr">
        <is>
          <t>Computed less billed</t>
        </is>
      </c>
      <c r="B21" s="7">
        <f>IF(AND(ISNUMBER(B19),ISNUMBER(B20)),B19-B20,"NOT CHECKED")</f>
        <v/>
      </c>
      <c r="C21" s="6" t="inlineStr">
        <is>
          <t>Guarded: a missing input renders NOT CHECKED rather than a difference of zero.</t>
        </is>
      </c>
    </row>
    <row r="22">
      <c r="A22" s="5" t="inlineStr">
        <is>
          <t>Check</t>
        </is>
      </c>
      <c r="B22" s="5" t="inlineStr">
        <is>
          <t>NOT CHECKED</t>
        </is>
      </c>
    </row>
    <row r="23">
      <c r="A23" s="5" t="inlineStr">
        <is>
          <t>Property taxes per the statement (T-12)</t>
        </is>
      </c>
      <c r="B23" s="7" t="n">
        <v>106586.4</v>
      </c>
      <c r="C23" s="6" t="inlineStr">
        <is>
          <t>As billed in the uploaded statement over its twelve months — the operator's ledger, not the county's bill, which the demo does not fetch.</t>
        </is>
      </c>
      <c r="D23" s="6" t="inlineStr">
        <is>
          <t>Wildflower Crossing T-12.xlsx — Property Taxes lines (computed)</t>
        </is>
      </c>
    </row>
    <row r="24">
      <c r="A24" s="5" t="inlineStr">
        <is>
          <t>Per-unit sanity band</t>
        </is>
      </c>
      <c r="B24" s="12" t="n"/>
      <c r="C24" s="6" t="inlineStr">
        <is>
          <t>OUTSIDE the band (the statement's line per unit): $4,441 per unit a year is outside the AZ band of $400–$2,600 — double-check the rate, its unit and the assessment ratio against the bill or the statement. The band is a typical range, not a rule: a new-build can sit above it.</t>
        </is>
      </c>
      <c r="D24" s="6" t="inlineStr">
        <is>
          <t>Vendored county rate table — property_tax_table.band_check (derived)</t>
        </is>
      </c>
    </row>
    <row r="25"/>
    <row r="26">
      <c r="A26" s="4" t="inlineStr">
        <is>
          <t>Underwriting assumption at the illustrative price</t>
        </is>
      </c>
      <c r="B26" s="4" t="n"/>
      <c r="C26" s="4" t="n"/>
      <c r="D26" s="4" t="n"/>
    </row>
    <row r="27">
      <c r="A27" s="5" t="inlineStr">
        <is>
          <t>State</t>
        </is>
      </c>
      <c r="B27" s="5" t="inlineStr">
        <is>
          <t>AZ</t>
        </is>
      </c>
    </row>
    <row r="28">
      <c r="A28" s="5" t="inlineStr">
        <is>
          <t>Does the basis reset on sale?</t>
        </is>
      </c>
      <c r="B28" s="5" t="inlineStr">
        <is>
          <t>No</t>
        </is>
      </c>
      <c r="C28" s="6" t="inlineStr">
        <is>
          <t>AZ does not reset the assessed value on sale. Proposition 117 caps growth in the limited property value at 5% a year, so year-one tax is the current basis grown at the cap — NOT the purchase price times the assessment ratio.</t>
        </is>
      </c>
    </row>
    <row r="29">
      <c r="A29" s="5" t="inlineStr">
        <is>
          <t>Purchase price</t>
        </is>
      </c>
      <c r="B29" s="7" t="n">
        <v>5160000</v>
      </c>
    </row>
    <row r="30">
      <c r="A30" s="5" t="inlineStr">
        <is>
          <t>Year-one full value</t>
        </is>
      </c>
      <c r="B30" s="12" t="n"/>
      <c r="C30" s="6" t="inlineStr">
        <is>
          <t>Current LPV grown 5% (the Prop 117 cap)</t>
        </is>
      </c>
    </row>
    <row r="31">
      <c r="A31" s="5" t="inlineStr">
        <is>
          <t>Year-one assessed value</t>
        </is>
      </c>
      <c r="B31" s="12" t="n"/>
      <c r="C31" s="6" t="inlineStr">
        <is>
          <t>Assessed value = full value x assessment ratio</t>
        </is>
      </c>
    </row>
    <row r="32">
      <c r="A32" s="5" t="inlineStr">
        <is>
          <t>Year-one tax</t>
        </is>
      </c>
      <c r="B32" s="12" t="n"/>
      <c r="C32" s="6" t="inlineStr">
        <is>
          <t>The figure to carry into the model.</t>
        </is>
      </c>
    </row>
    <row r="33">
      <c r="A33" s="5" t="inlineStr">
        <is>
          <t>Year-one tax per unit</t>
        </is>
      </c>
      <c r="B33" s="12" t="n"/>
    </row>
    <row r="34"/>
    <row r="35">
      <c r="A35" s="4" t="inlineStr">
        <is>
          <t>What the generic shortcut would have said</t>
        </is>
      </c>
      <c r="B35" s="4" t="n"/>
      <c r="C35" s="4" t="n"/>
      <c r="D35" s="4" t="n"/>
    </row>
    <row r="36">
      <c r="A36" s="5" t="inlineStr">
        <is>
          <t>Assessed value if it reset to the price</t>
        </is>
      </c>
      <c r="B36" s="7" t="n">
        <v>516000</v>
      </c>
      <c r="C36" s="6" t="inlineStr">
        <is>
          <t>Purchase price times the assessment ratio — the pattern that holds in most states.</t>
        </is>
      </c>
    </row>
    <row r="37">
      <c r="A37" s="5" t="inlineStr">
        <is>
          <t>Tax on that basis</t>
        </is>
      </c>
      <c r="B37" s="7" t="n">
        <v>52927.66800000001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0" customWidth="1" min="1" max="1"/>
  </cols>
  <sheetData>
    <row r="1">
      <c r="A1" s="1" t="inlineStr">
        <is>
          <t>Demand</t>
        </is>
      </c>
    </row>
    <row r="2">
      <c r="A2" s="2" t="inlineStr">
        <is>
          <t>Wildflower Crossing — as of 2025-11-12</t>
        </is>
      </c>
    </row>
    <row r="3">
      <c r="A3" s="2" t="inlineStr">
        <is>
          <t>Public demographic data by drive-ring.</t>
        </is>
      </c>
    </row>
    <row r="4">
      <c r="A4" s="3" t="n"/>
      <c r="B4" s="3" t="n"/>
      <c r="C4" s="3" t="n"/>
      <c r="D4" s="3" t="n"/>
      <c r="E4" s="3" t="n"/>
      <c r="F4" s="3" t="n"/>
      <c r="G4" s="3" t="n"/>
      <c r="H4" s="3" t="n"/>
    </row>
    <row r="5">
      <c r="A5" s="13" t="inlineStr">
        <is>
          <t>No demographic data</t>
        </is>
      </c>
    </row>
    <row r="6">
      <c r="A6" t="inlineStr">
        <is>
          <t>Not run: the market-report service is not part of this offline build, so demand, supply and rent comps were not requested.</t>
        </is>
      </c>
    </row>
    <row r="8">
      <c r="A8" s="2" t="inlineStr">
        <is>
          <t>An empty block that says why it is empty is a deliverable. A block of plausible numbers is not.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00" customWidth="1" min="1" max="1"/>
  </cols>
  <sheetData>
    <row r="1">
      <c r="A1" s="1" t="inlineStr">
        <is>
          <t>Competing supply</t>
        </is>
      </c>
    </row>
    <row r="2">
      <c r="A2" s="2" t="inlineStr">
        <is>
          <t>Wildflower Crossing — as of 2025-11-12</t>
        </is>
      </c>
    </row>
    <row r="3">
      <c r="A3" s="2" t="inlineStr">
        <is>
          <t>Pipeline projects by ring and stage. Stage is stated because entitled units and delivered units are not the same risk. Public permit records.</t>
        </is>
      </c>
    </row>
    <row r="4">
      <c r="A4" s="3" t="n"/>
      <c r="B4" s="3" t="n"/>
      <c r="C4" s="3" t="n"/>
      <c r="D4" s="3" t="n"/>
      <c r="E4" s="3" t="n"/>
      <c r="F4" s="3" t="n"/>
      <c r="G4" s="3" t="n"/>
      <c r="H4" s="3" t="n"/>
    </row>
    <row r="5" ht="32" customHeight="1">
      <c r="A5" s="6" t="inlineStr">
        <is>
          <t>Coverage note: these rings and stages are real and unmodified, and a zero is a genuine zero for the sources covered so far — not a gap left blank. Coverage of the permit and entitlement pipeline is an area of ongoing work and will be expanded, so read this section as a FLOOR on competing supply rather than a census of it.</t>
        </is>
      </c>
    </row>
    <row r="7">
      <c r="A7" s="13" t="inlineStr">
        <is>
          <t>No competing-supply data</t>
        </is>
      </c>
    </row>
    <row r="8">
      <c r="A8" t="inlineStr">
        <is>
          <t>Not run: the market-report service is not part of this offline build, so demand, supply and rent comps were not requested.</t>
        </is>
      </c>
    </row>
    <row r="10">
      <c r="A10" s="2" t="inlineStr">
        <is>
          <t>An empty block that says why it is empty is a deliverable. A block of plausible numbers is not.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8" customWidth="1" min="1" max="1"/>
    <col width="26" customWidth="1" min="2" max="2"/>
    <col width="110" customWidth="1" min="3" max="3"/>
  </cols>
  <sheetData>
    <row r="1">
      <c r="A1" s="1" t="inlineStr">
        <is>
          <t>Notes and disclosures</t>
        </is>
      </c>
    </row>
    <row r="2">
      <c r="A2" s="2" t="inlineStr">
        <is>
          <t>Wildflower Crossing — as of 2025-11-12</t>
        </is>
      </c>
    </row>
    <row r="3">
      <c r="A3" s="2" t="inlineStr">
        <is>
          <t>Every output here is the result of decisions someone made. These are those decisions, including the ones that make the numbers look worse.</t>
        </is>
      </c>
    </row>
    <row r="4">
      <c r="A4" s="3" t="n"/>
      <c r="B4" s="3" t="n"/>
      <c r="C4" s="3" t="n"/>
      <c r="D4" s="3" t="n"/>
      <c r="E4" s="3" t="n"/>
      <c r="F4" s="3" t="n"/>
      <c r="G4" s="3" t="n"/>
      <c r="H4" s="3" t="n"/>
    </row>
    <row r="5">
      <c r="A5" s="14" t="inlineStr">
        <is>
          <t>Topic</t>
        </is>
      </c>
      <c r="B5" s="14" t="inlineStr">
        <is>
          <t>Applies to</t>
        </is>
      </c>
      <c r="C5" s="14" t="inlineStr">
        <is>
          <t>Note</t>
        </is>
      </c>
    </row>
    <row r="6">
      <c r="A6" s="5" t="inlineStr">
        <is>
          <t>About this run</t>
        </is>
      </c>
      <c r="B6" s="5" t="inlineStr">
        <is>
          <t>Notes &amp; Disclosures</t>
        </is>
      </c>
      <c r="C6" s="15" t="inlineStr">
        <is>
          <t>Ties to the statement's own printed subtotals: revenue, operating expenses, NOI.</t>
        </is>
      </c>
    </row>
    <row r="7">
      <c r="A7" s="5" t="inlineStr">
        <is>
          <t>About this run</t>
        </is>
      </c>
      <c r="B7" s="5" t="inlineStr">
        <is>
          <t>Notes &amp; Disclosures</t>
        </is>
      </c>
      <c r="C7" s="15" t="inlineStr">
        <is>
          <t>The market report (demand, supply, comps) did not run: the market-report service is not part of this offline build, so demand, supply and rent comps were not requested.</t>
        </is>
      </c>
    </row>
    <row r="8">
      <c r="A8" s="5" t="inlineStr">
        <is>
          <t>About this run</t>
        </is>
      </c>
      <c r="B8" s="5" t="inlineStr">
        <is>
          <t>Notes &amp; Disclosures</t>
        </is>
      </c>
      <c r="C8" s="15" t="inlineStr">
        <is>
          <t>Property tax: the rate is the vendored county rate table's entry for Maricopa, AZ — 10.2573 per $100 of assessed value, tax year 2025, Tax area code 971300 — City of Phoenix / Deer Valley Unified School District #97 — with the AZ assessment ratio and reset-on-sale rule from the same table. No county portal was reached: the parcel, the tax area code, the assessor's value, the billed amount, the bill's tax year, the exemption read MISSING. The statement's own Property Taxes line is shown as billed in the statement where a statement was uploaded.</t>
        </is>
      </c>
    </row>
    <row r="9">
      <c r="A9" s="5" t="inlineStr">
        <is>
          <t>About this run</t>
        </is>
      </c>
      <c r="B9" s="5" t="inlineStr">
        <is>
          <t>Notes &amp; Disclosures</t>
        </is>
      </c>
      <c r="C9" s="15" t="inlineStr">
        <is>
          <t>The uploaded rent roll did not state the date it was run, so the as-of date was INFERRED as 2025-11-12 — the most recent lease start or move-in on the roll, which is the earliest date the snapshot can have been taken. Every window on this page (the move-in and lease-signed lookback, and annualised turnover) is measured back from that date. It is not the upload date, and it is not today.</t>
        </is>
      </c>
    </row>
    <row r="10">
      <c r="A10" s="5" t="inlineStr">
        <is>
          <t>About this run</t>
        </is>
      </c>
      <c r="B10" s="5" t="inlineStr">
        <is>
          <t>Notes &amp; Disclosures</t>
        </is>
      </c>
      <c r="C10" s="15" t="inlineStr">
        <is>
          <t>This output set was generated from documents uploaded to a public demo. It read an offering memorandum, a trailing-twelve statement, a rent roll. 10 summary field(s) were read from the marketing document by a language model and each one is carried with the sentence it came from; any value whose sentence could not be found in the document was discarded rather than shown. Every figure on the T-12 and rent-roll tabs are computed by code from the uploaded spreadsheets, not read by a model. Each T-12 line's category was assigned from the wording of its account label, not from an account-code table, because account codes mean different things in different systems. The category chosen for every line is shown beside it on the T-12 Data tab so you can check it; lines that could not be placed confidently are excluded rather than guessed at, and are listed above. Comparable rents, demographics, competing supply and closing costs were not run: they need data sources this demo does not reach. The uploaded files were deleted as soon as they were parsed, and this output set is deleted with the rest of the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7"/>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2" t="inlineStr">
        <is>
          <t>Wildflower Crossing — as of 2025-11-12</t>
        </is>
      </c>
    </row>
    <row r="3">
      <c r="A3" s="2" t="inlineStr">
        <is>
          <t>Deal summary, comps, demand and supply. Every value below names the document it came from and where in it. A derived value names the values it was built from — one that could not would not have passed validation.</t>
        </is>
      </c>
    </row>
    <row r="4">
      <c r="A4" s="3" t="n"/>
      <c r="B4" s="3" t="n"/>
      <c r="C4" s="3" t="n"/>
      <c r="D4" s="3" t="n"/>
      <c r="E4" s="3" t="n"/>
      <c r="F4" s="3" t="n"/>
      <c r="G4" s="3" t="n"/>
      <c r="H4" s="3" t="n"/>
    </row>
    <row r="5">
      <c r="A5" s="13" t="inlineStr">
        <is>
          <t>Stamped values in this workbook</t>
        </is>
      </c>
      <c r="B5" s="16" t="n">
        <v>49</v>
      </c>
    </row>
    <row r="6">
      <c r="A6" s="13" t="inlineStr">
        <is>
          <t>Coverage of the required set</t>
        </is>
      </c>
      <c r="B6" t="inlineStr">
        <is>
          <t>52/52 (100%)</t>
        </is>
      </c>
    </row>
    <row r="8">
      <c r="A8" s="14" t="inlineStr">
        <is>
          <t>Value</t>
        </is>
      </c>
      <c r="B8" s="14" t="inlineStr">
        <is>
          <t>Value as published</t>
        </is>
      </c>
      <c r="C8" s="14" t="inlineStr">
        <is>
          <t>Source document</t>
        </is>
      </c>
      <c r="D8" s="14" t="inlineStr">
        <is>
          <t>Where in it</t>
        </is>
      </c>
      <c r="E8" s="14" t="inlineStr">
        <is>
          <t>How</t>
        </is>
      </c>
      <c r="F8" s="14" t="inlineStr">
        <is>
          <t>Built from</t>
        </is>
      </c>
      <c r="G8" s="14" t="inlineStr">
        <is>
          <t>Supporting quote / note</t>
        </is>
      </c>
    </row>
    <row r="9">
      <c r="A9" s="17" t="inlineStr">
        <is>
          <t>closing_costs.mortgage_tax.amount</t>
        </is>
      </c>
      <c r="B9" s="5" t="inlineStr">
        <is>
          <t>MISSING</t>
        </is>
      </c>
      <c r="C9" s="5" t="inlineStr">
        <is>
          <t>Not run in the upload demo</t>
        </is>
      </c>
      <c r="D9" s="5" t="inlineStr">
        <is>
          <t>—</t>
        </is>
      </c>
      <c r="E9" s="5" t="inlineStr">
        <is>
          <t>read</t>
        </is>
      </c>
      <c r="F9" s="12" t="n"/>
      <c r="G9" s="15" t="inlineStr">
        <is>
          <t>Not run in the upload demo. This section needs data sources the demo does not reach, so it is left empty rather than filled with placeholders.</t>
        </is>
      </c>
    </row>
    <row r="10">
      <c r="A10" s="17" t="inlineStr">
        <is>
          <t>closing_costs.transfer_tax.amount</t>
        </is>
      </c>
      <c r="B10" s="5" t="inlineStr">
        <is>
          <t>MISSING</t>
        </is>
      </c>
      <c r="C10" s="5" t="inlineStr">
        <is>
          <t>Not run in the upload demo</t>
        </is>
      </c>
      <c r="D10" s="5" t="inlineStr">
        <is>
          <t>—</t>
        </is>
      </c>
      <c r="E10" s="5" t="inlineStr">
        <is>
          <t>read</t>
        </is>
      </c>
      <c r="F10" s="12" t="n"/>
      <c r="G10" s="15" t="inlineStr">
        <is>
          <t>Not run in the upload demo. This section needs data sources the demo does not reach, so it is left empty rather than filled with placeholders.</t>
        </is>
      </c>
    </row>
    <row r="11">
      <c r="A11" s="17" t="inlineStr">
        <is>
          <t>comps.nearby</t>
        </is>
      </c>
      <c r="B11" s="5" t="inlineStr">
        <is>
          <t>0 entries</t>
        </is>
      </c>
      <c r="C11" s="5" t="inlineStr">
        <is>
          <t>Not run in the upload demo</t>
        </is>
      </c>
      <c r="D11" s="5" t="inlineStr">
        <is>
          <t>—</t>
        </is>
      </c>
      <c r="E11" s="5" t="inlineStr">
        <is>
          <t>read</t>
        </is>
      </c>
      <c r="F11" s="12" t="n"/>
      <c r="G11" s="15" t="inlineStr">
        <is>
          <t>Not run in the upload demo. This section needs data sources the demo does not reach, so it is left empty rather than filled with placeholders.</t>
        </is>
      </c>
    </row>
    <row r="12">
      <c r="A12" s="17" t="inlineStr">
        <is>
          <t>comps.rows</t>
        </is>
      </c>
      <c r="B12" s="5" t="inlineStr">
        <is>
          <t>0 entries</t>
        </is>
      </c>
      <c r="C12" s="5" t="inlineStr">
        <is>
          <t>Not run in the upload demo</t>
        </is>
      </c>
      <c r="D12" s="5" t="inlineStr">
        <is>
          <t>—</t>
        </is>
      </c>
      <c r="E12" s="5" t="inlineStr">
        <is>
          <t>read</t>
        </is>
      </c>
      <c r="F12" s="12" t="n"/>
      <c r="G12" s="15" t="inlineStr">
        <is>
          <t>Not run in the upload demo. This section needs data sources the demo does not reach, so it is left empty rather than filled with placeholders.</t>
        </is>
      </c>
    </row>
    <row r="13">
      <c r="A13" s="17" t="inlineStr">
        <is>
          <t>comps.rows.tier</t>
        </is>
      </c>
      <c r="B13" s="5" t="inlineStr">
        <is>
          <t>—</t>
        </is>
      </c>
      <c r="C13" s="5" t="inlineStr">
        <is>
          <t>Not run in the upload demo</t>
        </is>
      </c>
      <c r="D13" s="5" t="inlineStr">
        <is>
          <t>—</t>
        </is>
      </c>
      <c r="E13" s="5" t="inlineStr">
        <is>
          <t>read</t>
        </is>
      </c>
      <c r="F13" s="12" t="n"/>
      <c r="G13" s="15" t="inlineStr">
        <is>
          <t>Not run in the upload demo. This section needs data sources the demo does not reach, so it is left empty rather than filled with placeholders.</t>
        </is>
      </c>
    </row>
    <row r="14">
      <c r="A14" s="17" t="inlineStr">
        <is>
          <t>demand.rings</t>
        </is>
      </c>
      <c r="B14" s="5" t="inlineStr">
        <is>
          <t>0 entries</t>
        </is>
      </c>
      <c r="C14" s="5" t="inlineStr">
        <is>
          <t>Not run in the upload demo</t>
        </is>
      </c>
      <c r="D14" s="5" t="inlineStr">
        <is>
          <t>—</t>
        </is>
      </c>
      <c r="E14" s="5" t="inlineStr">
        <is>
          <t>read</t>
        </is>
      </c>
      <c r="F14" s="12" t="n"/>
      <c r="G14" s="15" t="inlineStr">
        <is>
          <t>Not run in the upload demo. This section needs data sources the demo does not reach, so it is left empty rather than filled with placeholders.</t>
        </is>
      </c>
    </row>
    <row r="15">
      <c r="A15" s="17" t="inlineStr">
        <is>
          <t>pricing.document_price_per_unit</t>
        </is>
      </c>
      <c r="B15" s="5" t="inlineStr">
        <is>
          <t>308,333.33</t>
        </is>
      </c>
      <c r="C15" s="5" t="inlineStr">
        <is>
          <t>Wildflower Crossing Offering Memorandum.pdf</t>
        </is>
      </c>
      <c r="D15" s="5" t="inlineStr">
        <is>
          <t>p.1</t>
        </is>
      </c>
      <c r="E15" s="5" t="inlineStr">
        <is>
          <t>derived</t>
        </is>
      </c>
      <c r="F15" s="5" t="inlineStr">
        <is>
          <t>summary.pricing_guidance, rent_roll.units</t>
        </is>
      </c>
      <c r="G15" s="15" t="inlineStr">
        <is>
          <t>Derived from the stated total and the rent roll's 24 units: the document states a total price of $7,400,000, the uploaded rent roll counts 24 units, and this is that total divided by that count. The document did not state a per-unit price.</t>
        </is>
      </c>
    </row>
    <row r="16">
      <c r="A16" s="17" t="inlineStr">
        <is>
          <t>pricing.price_per_unit</t>
        </is>
      </c>
      <c r="B16" s="5" t="inlineStr">
        <is>
          <t>215,000</t>
        </is>
      </c>
      <c r="C16" s="5" t="inlineStr">
        <is>
          <t>The upload form's price field</t>
        </is>
      </c>
      <c r="D16" s="5" t="inlineStr">
        <is>
          <t>—</t>
        </is>
      </c>
      <c r="E16" s="5" t="inlineStr">
        <is>
          <t>read</t>
        </is>
      </c>
      <c r="F16" s="12" t="n"/>
      <c r="G16" s="15" t="inlineStr">
        <is>
          <t>The purchase price per unit the visitor entered, inside the sale-price band. It outranks a price in the notes box or the memorandum.</t>
        </is>
      </c>
    </row>
    <row r="17">
      <c r="A17" s="17" t="inlineStr">
        <is>
          <t>pricing.units_total</t>
        </is>
      </c>
      <c r="B17" s="5" t="inlineStr">
        <is>
          <t>24</t>
        </is>
      </c>
      <c r="C17" s="5" t="inlineStr">
        <is>
          <t>Wildflower Crossing Rent Roll.xlsx</t>
        </is>
      </c>
      <c r="D17" s="5" t="inlineStr">
        <is>
          <t>—</t>
        </is>
      </c>
      <c r="E17" s="5" t="inlineStr">
        <is>
          <t>derived</t>
        </is>
      </c>
      <c r="F17" s="5" t="inlineStr">
        <is>
          <t>summary.units_total</t>
        </is>
      </c>
      <c r="G17" s="15" t="inlineStr">
        <is>
          <t>The same count the summary carries, counted from the rows of the uploaded rent roll.</t>
        </is>
      </c>
    </row>
    <row r="18">
      <c r="A18" s="17" t="inlineStr">
        <is>
          <t>summary.assessed_value_basis</t>
        </is>
      </c>
      <c r="B18" s="5" t="inlineStr">
        <is>
          <t>MISSING</t>
        </is>
      </c>
      <c r="C18" s="5" t="inlineStr">
        <is>
          <t>Internal pipeline only</t>
        </is>
      </c>
      <c r="D18" s="5" t="inlineStr">
        <is>
          <t>—</t>
        </is>
      </c>
      <c r="E18" s="5" t="inlineStr">
        <is>
          <t>read</t>
        </is>
      </c>
      <c r="F18" s="12" t="n"/>
      <c r="G18" s="15" t="inlineStr">
        <is>
          <t>See parcel: read off the county assessor's portal by the internal pipeline only.</t>
        </is>
      </c>
    </row>
    <row r="19">
      <c r="A19" s="17" t="inlineStr">
        <is>
          <t>summary.assessment_ratio</t>
        </is>
      </c>
      <c r="B19" s="5" t="inlineStr">
        <is>
          <t>0.1</t>
        </is>
      </c>
      <c r="C19" s="5" t="inlineStr">
        <is>
          <t>Vendored county rate table</t>
        </is>
      </c>
      <c r="D19" s="5" t="inlineStr">
        <is>
          <t>property_tax_table.STATE_RULES['AZ']</t>
        </is>
      </c>
      <c r="E19" s="5" t="inlineStr">
        <is>
          <t>read</t>
        </is>
      </c>
      <c r="F19" s="12" t="n"/>
      <c r="G19" s="15" t="inlineStr">
        <is>
          <t>10% — legal class 4.2, residential rental. A.R.S. sec. 42-15003 (class four assessed at 10%); A.R.S. sec. 42-12004 (class four includes residential rental property).</t>
        </is>
      </c>
    </row>
    <row r="20">
      <c r="A20" s="17" t="inlineStr">
        <is>
          <t>summary.city</t>
        </is>
      </c>
      <c r="B20" s="5" t="inlineStr">
        <is>
          <t>Mesa</t>
        </is>
      </c>
      <c r="C20" s="5" t="inlineStr">
        <is>
          <t>Wildflower Crossing Offering Memorandum.pdf</t>
        </is>
      </c>
      <c r="D20" s="5" t="inlineStr">
        <is>
          <t>p.1</t>
        </is>
      </c>
      <c r="E20" s="5" t="inlineStr">
        <is>
          <t>read</t>
        </is>
      </c>
      <c r="F20" s="12" t="n"/>
      <c r="G20" s="15" t="inlineStr">
        <is>
          <t>ry figure below is made up for testing.
Address: 100 Example Way, Mesa, Maricopa County, AZ 85204 (an invented</t>
        </is>
      </c>
    </row>
    <row r="21">
      <c r="A21" s="17" t="inlineStr">
        <is>
          <t>summary.construction_status</t>
        </is>
      </c>
      <c r="B21" s="5" t="inlineStr">
        <is>
          <t>MISSING</t>
        </is>
      </c>
      <c r="C21" s="5" t="inlineStr">
        <is>
          <t>Not stated in the uploaded documents</t>
        </is>
      </c>
      <c r="D21" s="5" t="inlineStr">
        <is>
          <t>—</t>
        </is>
      </c>
      <c r="E21" s="5" t="inlineStr">
        <is>
          <t>read</t>
        </is>
      </c>
      <c r="F21" s="12" t="n"/>
      <c r="G21" s="15" t="inlineStr">
        <is>
          <t>No uploaded document stated this, so the value reads MISSING. Nothing was assumed to fill it.</t>
        </is>
      </c>
    </row>
    <row r="22">
      <c r="A22" s="17" t="inlineStr">
        <is>
          <t>summary.county</t>
        </is>
      </c>
      <c r="B22" s="5" t="inlineStr">
        <is>
          <t>Maricopa</t>
        </is>
      </c>
      <c r="C22" s="5" t="inlineStr">
        <is>
          <t>Wildflower Crossing Offering Memorandum.pdf</t>
        </is>
      </c>
      <c r="D22" s="5" t="inlineStr">
        <is>
          <t>p.1</t>
        </is>
      </c>
      <c r="E22" s="5" t="inlineStr">
        <is>
          <t>read</t>
        </is>
      </c>
      <c r="F22" s="12" t="n"/>
      <c r="G22" s="15" t="inlineStr">
        <is>
          <t>esting.
Address: 100 Example Way, Mesa, Maricopa County, AZ 85204 (an invented address).
Execut</t>
        </is>
      </c>
    </row>
    <row r="23">
      <c r="A23" s="17" t="inlineStr">
        <is>
          <t>summary.deal_name</t>
        </is>
      </c>
      <c r="B23" s="5" t="inlineStr">
        <is>
          <t>Wildflower Crossing</t>
        </is>
      </c>
      <c r="C23" s="5" t="inlineStr">
        <is>
          <t>Wildflower Crossing Offering Memorandum.pdf</t>
        </is>
      </c>
      <c r="D23" s="5" t="inlineStr">
        <is>
          <t>p.1</t>
        </is>
      </c>
      <c r="E23" s="5" t="inlineStr">
        <is>
          <t>read</t>
        </is>
      </c>
      <c r="F23" s="12" t="n"/>
      <c r="G23" s="15" t="inlineStr">
        <is>
          <t>[[page 1]]
Wildflower Crossing - Offering Memorandum
A wholly invented property. Every figur</t>
        </is>
      </c>
    </row>
    <row r="24">
      <c r="A24" s="17" t="inlineStr">
        <is>
          <t>summary.deal_status</t>
        </is>
      </c>
      <c r="B24" s="5" t="inlineStr">
        <is>
          <t>MISSING</t>
        </is>
      </c>
      <c r="C24" s="5" t="inlineStr">
        <is>
          <t>Not stated in the uploaded documents</t>
        </is>
      </c>
      <c r="D24" s="5" t="inlineStr">
        <is>
          <t>—</t>
        </is>
      </c>
      <c r="E24" s="5" t="inlineStr">
        <is>
          <t>read</t>
        </is>
      </c>
      <c r="F24" s="12" t="n"/>
      <c r="G24" s="15" t="inlineStr">
        <is>
          <t>No uploaded document stated this, so the value reads MISSING. Nothing was assumed to fill it.</t>
        </is>
      </c>
    </row>
    <row r="25">
      <c r="A25" s="17" t="inlineStr">
        <is>
          <t>summary.delivery_date</t>
        </is>
      </c>
      <c r="B25" s="5" t="inlineStr">
        <is>
          <t>MISSING</t>
        </is>
      </c>
      <c r="C25" s="5" t="inlineStr">
        <is>
          <t>Not stated in the uploaded documents</t>
        </is>
      </c>
      <c r="D25" s="5" t="inlineStr">
        <is>
          <t>—</t>
        </is>
      </c>
      <c r="E25" s="5" t="inlineStr">
        <is>
          <t>read</t>
        </is>
      </c>
      <c r="F25" s="12" t="n"/>
      <c r="G25" s="15" t="inlineStr">
        <is>
          <t>No uploaded document stated this, so the value reads MISSING. Nothing was assumed to fill it.</t>
        </is>
      </c>
    </row>
    <row r="26">
      <c r="A26" s="17" t="inlineStr">
        <is>
          <t>summary.fair_market_value</t>
        </is>
      </c>
      <c r="B26" s="5" t="inlineStr">
        <is>
          <t>MISSING</t>
        </is>
      </c>
      <c r="C26" s="5" t="inlineStr">
        <is>
          <t>Not stated in the uploaded documents</t>
        </is>
      </c>
      <c r="D26" s="5" t="inlineStr">
        <is>
          <t>—</t>
        </is>
      </c>
      <c r="E26" s="5" t="inlineStr">
        <is>
          <t>read</t>
        </is>
      </c>
      <c r="F26" s="12" t="n"/>
      <c r="G26" s="15" t="inlineStr">
        <is>
          <t>No uploaded document stated this, so the value reads MISSING. Nothing was assumed to fill it.</t>
        </is>
      </c>
    </row>
    <row r="27">
      <c r="A27" s="17" t="inlineStr">
        <is>
          <t>summary.in_place_rent_avg</t>
        </is>
      </c>
      <c r="B27" s="5" t="inlineStr">
        <is>
          <t>2,456.67</t>
        </is>
      </c>
      <c r="C27" s="5" t="inlineStr">
        <is>
          <t>Wildflower Crossing Rent Roll.xlsx</t>
        </is>
      </c>
      <c r="D27" s="5" t="inlineStr">
        <is>
          <t>—</t>
        </is>
      </c>
      <c r="E27" s="5" t="inlineStr">
        <is>
          <t>derived</t>
        </is>
      </c>
      <c r="F27" s="5" t="inlineStr">
        <is>
          <t>rent_roll.units</t>
        </is>
      </c>
      <c r="G27" s="15" t="inlineStr">
        <is>
          <t>Unit-weighted across the uploaded roll.</t>
        </is>
      </c>
    </row>
    <row r="28">
      <c r="A28" s="17" t="inlineStr">
        <is>
          <t>summary.listing_brokerage</t>
        </is>
      </c>
      <c r="B28" s="5" t="inlineStr">
        <is>
          <t>MISSING</t>
        </is>
      </c>
      <c r="C28" s="5" t="inlineStr">
        <is>
          <t>Not stated in the uploaded documents</t>
        </is>
      </c>
      <c r="D28" s="5" t="inlineStr">
        <is>
          <t>—</t>
        </is>
      </c>
      <c r="E28" s="5" t="inlineStr">
        <is>
          <t>read</t>
        </is>
      </c>
      <c r="F28" s="12" t="n"/>
      <c r="G28" s="15" t="inlineStr">
        <is>
          <t>No uploaded document stated this, so the value reads MISSING. Nothing was assumed to fill it.</t>
        </is>
      </c>
    </row>
    <row r="29">
      <c r="A29" s="17" t="inlineStr">
        <is>
          <t>summary.market_rent_for_model</t>
        </is>
      </c>
      <c r="B29" s="5" t="inlineStr">
        <is>
          <t>2,456.67</t>
        </is>
      </c>
      <c r="C29" s="5" t="inlineStr">
        <is>
          <t>Wildflower Crossing Rent Roll.xlsx</t>
        </is>
      </c>
      <c r="D29" s="5" t="inlineStr">
        <is>
          <t>—</t>
        </is>
      </c>
      <c r="E29" s="5" t="inlineStr">
        <is>
          <t>derived</t>
        </is>
      </c>
      <c r="F29" s="5" t="inlineStr">
        <is>
          <t>rent_roll.units</t>
        </is>
      </c>
      <c r="G29" s="15" t="inlineStr">
        <is>
          <t>Unit-weighted across the uploaded roll.</t>
        </is>
      </c>
    </row>
    <row r="30">
      <c r="A30" s="17" t="inlineStr">
        <is>
          <t>summary.msa</t>
        </is>
      </c>
      <c r="B30" s="5" t="inlineStr">
        <is>
          <t>MISSING</t>
        </is>
      </c>
      <c r="C30" s="5" t="inlineStr">
        <is>
          <t>Not stated in the uploaded documents</t>
        </is>
      </c>
      <c r="D30" s="5" t="inlineStr">
        <is>
          <t>—</t>
        </is>
      </c>
      <c r="E30" s="5" t="inlineStr">
        <is>
          <t>read</t>
        </is>
      </c>
      <c r="F30" s="12" t="n"/>
      <c r="G30" s="15" t="inlineStr">
        <is>
          <t>No uploaded document stated this, so the value reads MISSING. Nothing was assumed to fill it.</t>
        </is>
      </c>
    </row>
    <row r="31">
      <c r="A31" s="17" t="inlineStr">
        <is>
          <t>summary.pricing_guidance</t>
        </is>
      </c>
      <c r="B31" s="5" t="inlineStr">
        <is>
          <t>$215,000 per unit (entered on the upload form); the memorandum's own figure is $308,333…</t>
        </is>
      </c>
      <c r="C31" s="5" t="inlineStr">
        <is>
          <t>Wildflower Crossing Offering Memorandum.pdf</t>
        </is>
      </c>
      <c r="D31" s="5" t="inlineStr">
        <is>
          <t>p.1</t>
        </is>
      </c>
      <c r="E31" s="5" t="inlineStr">
        <is>
          <t>read</t>
        </is>
      </c>
      <c r="F31" s="12" t="n"/>
      <c r="G31" s="15" t="inlineStr">
        <is>
          <t>.
Year built: 2021.  Occupancy: 93.8%.  Asking price: $7,400,000.
Capitalization rate: 5.35% on in-place</t>
        </is>
      </c>
    </row>
    <row r="32">
      <c r="A32" s="17" t="inlineStr">
        <is>
          <t>summary.product_detail</t>
        </is>
      </c>
      <c r="B32" s="5" t="inlineStr">
        <is>
          <t>MISSING</t>
        </is>
      </c>
      <c r="C32" s="5" t="inlineStr">
        <is>
          <t>Not stated in the uploaded documents</t>
        </is>
      </c>
      <c r="D32" s="5" t="inlineStr">
        <is>
          <t>—</t>
        </is>
      </c>
      <c r="E32" s="5" t="inlineStr">
        <is>
          <t>read</t>
        </is>
      </c>
      <c r="F32" s="12" t="n"/>
      <c r="G32" s="15" t="inlineStr">
        <is>
          <t>No uploaded document stated this, so the value reads MISSING. Nothing was assumed to fill it.</t>
        </is>
      </c>
    </row>
    <row r="33">
      <c r="A33" s="17" t="inlineStr">
        <is>
          <t>summary.product_type</t>
        </is>
      </c>
      <c r="B33" s="5" t="inlineStr">
        <is>
          <t>build-for-rent</t>
        </is>
      </c>
      <c r="C33" s="5" t="inlineStr">
        <is>
          <t>Wildflower Crossing Offering Memorandum.pdf</t>
        </is>
      </c>
      <c r="D33" s="5" t="inlineStr">
        <is>
          <t>p.1</t>
        </is>
      </c>
      <c r="E33" s="5" t="inlineStr">
        <is>
          <t>read</t>
        </is>
      </c>
      <c r="F33" s="12" t="n"/>
      <c r="G33" s="15" t="inlineStr">
        <is>
          <t>ummary
Wildflower Crossing is a 24-unit build-for-rent community in a market that does not exi</t>
        </is>
      </c>
    </row>
    <row r="34">
      <c r="A34" s="17" t="inlineStr">
        <is>
          <t>summary.school_elementary_name</t>
        </is>
      </c>
      <c r="B34" s="5" t="inlineStr">
        <is>
          <t>MISSING</t>
        </is>
      </c>
      <c r="C34" s="5" t="inlineStr">
        <is>
          <t>Not stated in the uploaded documents</t>
        </is>
      </c>
      <c r="D34" s="5" t="inlineStr">
        <is>
          <t>—</t>
        </is>
      </c>
      <c r="E34" s="5" t="inlineStr">
        <is>
          <t>read</t>
        </is>
      </c>
      <c r="F34" s="12" t="n"/>
      <c r="G34" s="15" t="inlineStr">
        <is>
          <t>No uploaded document stated this, so the value reads MISSING. Nothing was assumed to fill it.</t>
        </is>
      </c>
    </row>
    <row r="35">
      <c r="A35" s="17" t="inlineStr">
        <is>
          <t>summary.school_high_name</t>
        </is>
      </c>
      <c r="B35" s="5" t="inlineStr">
        <is>
          <t>MISSING</t>
        </is>
      </c>
      <c r="C35" s="5" t="inlineStr">
        <is>
          <t>Not stated in the uploaded documents</t>
        </is>
      </c>
      <c r="D35" s="5" t="inlineStr">
        <is>
          <t>—</t>
        </is>
      </c>
      <c r="E35" s="5" t="inlineStr">
        <is>
          <t>read</t>
        </is>
      </c>
      <c r="F35" s="12" t="n"/>
      <c r="G35" s="15" t="inlineStr">
        <is>
          <t>No uploaded document stated this, so the value reads MISSING. Nothing was assumed to fill it.</t>
        </is>
      </c>
    </row>
    <row r="36">
      <c r="A36" s="17" t="inlineStr">
        <is>
          <t>summary.school_middle_name</t>
        </is>
      </c>
      <c r="B36" s="5" t="inlineStr">
        <is>
          <t>MISSING</t>
        </is>
      </c>
      <c r="C36" s="5" t="inlineStr">
        <is>
          <t>Not stated in the uploaded documents</t>
        </is>
      </c>
      <c r="D36" s="5" t="inlineStr">
        <is>
          <t>—</t>
        </is>
      </c>
      <c r="E36" s="5" t="inlineStr">
        <is>
          <t>read</t>
        </is>
      </c>
      <c r="F36" s="12" t="n"/>
      <c r="G36" s="15" t="inlineStr">
        <is>
          <t>No uploaded document stated this, so the value reads MISSING. Nothing was assumed to fill it.</t>
        </is>
      </c>
    </row>
    <row r="37">
      <c r="A37" s="17" t="inlineStr">
        <is>
          <t>summary.seller_entity</t>
        </is>
      </c>
      <c r="B37" s="5" t="inlineStr">
        <is>
          <t>MISSING</t>
        </is>
      </c>
      <c r="C37" s="5" t="inlineStr">
        <is>
          <t>Not stated in the uploaded documents</t>
        </is>
      </c>
      <c r="D37" s="5" t="inlineStr">
        <is>
          <t>—</t>
        </is>
      </c>
      <c r="E37" s="5" t="inlineStr">
        <is>
          <t>read</t>
        </is>
      </c>
      <c r="F37" s="12" t="n"/>
      <c r="G37" s="15" t="inlineStr">
        <is>
          <t>No uploaded document stated this, so the value reads MISSING. Nothing was assumed to fill it.</t>
        </is>
      </c>
    </row>
    <row r="38">
      <c r="A38" s="17" t="inlineStr">
        <is>
          <t>summary.state</t>
        </is>
      </c>
      <c r="B38" s="5" t="inlineStr">
        <is>
          <t>AZ</t>
        </is>
      </c>
      <c r="C38" s="5" t="inlineStr">
        <is>
          <t>Wildflower Crossing Offering Memorandum.pdf</t>
        </is>
      </c>
      <c r="D38" s="5" t="inlineStr">
        <is>
          <t>p.1</t>
        </is>
      </c>
      <c r="E38" s="5" t="inlineStr">
        <is>
          <t>read</t>
        </is>
      </c>
      <c r="F38" s="12" t="n"/>
      <c r="G38" s="15" t="inlineStr">
        <is>
          <t>ddress: 100 Example Way, Mesa, Maricopa County, AZ 85204 (an invented address).
Executive</t>
        </is>
      </c>
    </row>
    <row r="39">
      <c r="A39" s="17" t="inlineStr">
        <is>
          <t>summary.street_address</t>
        </is>
      </c>
      <c r="B39" s="5" t="inlineStr">
        <is>
          <t>100 Example Way</t>
        </is>
      </c>
      <c r="C39" s="5" t="inlineStr">
        <is>
          <t>Wildflower Crossing Offering Memorandum.pdf</t>
        </is>
      </c>
      <c r="D39" s="5" t="inlineStr">
        <is>
          <t>p.1</t>
        </is>
      </c>
      <c r="E39" s="5" t="inlineStr">
        <is>
          <t>read</t>
        </is>
      </c>
      <c r="F39" s="12" t="n"/>
      <c r="G39" s="15" t="inlineStr">
        <is>
          <t>ry figure below is made up for testing.
Address: 100 Example Way, Mesa, Maricopa County, AZ 85204 (an inv</t>
        </is>
      </c>
    </row>
    <row r="40">
      <c r="A40" s="17" t="inlineStr">
        <is>
          <t>summary.structure</t>
        </is>
      </c>
      <c r="B40" s="5" t="inlineStr">
        <is>
          <t>MISSING</t>
        </is>
      </c>
      <c r="C40" s="5" t="inlineStr">
        <is>
          <t>Not stated in the uploaded documents</t>
        </is>
      </c>
      <c r="D40" s="5" t="inlineStr">
        <is>
          <t>—</t>
        </is>
      </c>
      <c r="E40" s="5" t="inlineStr">
        <is>
          <t>read</t>
        </is>
      </c>
      <c r="F40" s="12" t="n"/>
      <c r="G40" s="15" t="inlineStr">
        <is>
          <t>No uploaded document stated this, so the value reads MISSING. Nothing was assumed to fill it.</t>
        </is>
      </c>
    </row>
    <row r="41">
      <c r="A41" s="17" t="inlineStr">
        <is>
          <t>summary.tax_area_code</t>
        </is>
      </c>
      <c r="B41" s="5" t="inlineStr">
        <is>
          <t>MISSING</t>
        </is>
      </c>
      <c r="C41" s="5" t="inlineStr">
        <is>
          <t>Internal pipeline only</t>
        </is>
      </c>
      <c r="D41" s="5" t="inlineStr">
        <is>
          <t>—</t>
        </is>
      </c>
      <c r="E41" s="5" t="inlineStr">
        <is>
          <t>read</t>
        </is>
      </c>
      <c r="F41" s="12" t="n"/>
      <c r="G41" s="15" t="inlineStr">
        <is>
          <t>See parcel: read off the county assessor's portal by the internal pipeline only.</t>
        </is>
      </c>
    </row>
    <row r="42">
      <c r="A42" s="17" t="inlineStr">
        <is>
          <t>summary.tax_basis_label</t>
        </is>
      </c>
      <c r="B42" s="5" t="inlineStr">
        <is>
          <t>Limited property value (LPV), per the county assessor</t>
        </is>
      </c>
      <c r="C42" s="5" t="inlineStr">
        <is>
          <t>Vendored county rate table</t>
        </is>
      </c>
      <c r="D42" s="5" t="inlineStr">
        <is>
          <t>property_tax_table.STATE_RULES['AZ']</t>
        </is>
      </c>
      <c r="E42" s="5" t="inlineStr">
        <is>
          <t>read</t>
        </is>
      </c>
      <c r="F42" s="12" t="n"/>
      <c r="G42" s="15" t="inlineStr">
        <is>
          <t>What the assessed basis is in this state.</t>
        </is>
      </c>
    </row>
    <row r="43">
      <c r="A43" s="17" t="inlineStr">
        <is>
          <t>summary.tax_basis_note</t>
        </is>
      </c>
      <c r="B43" s="5" t="inlineStr">
        <is>
          <t>Arizona taxes the limited property value, not the price. Under Proposition 117 (Ariz. C…</t>
        </is>
      </c>
      <c r="C43" s="5" t="inlineStr">
        <is>
          <t>Vendored county rate table</t>
        </is>
      </c>
      <c r="D43" s="5" t="inlineStr">
        <is>
          <t>property_tax_table.STATE_RULES['AZ']</t>
        </is>
      </c>
      <c r="E43" s="5" t="inlineStr">
        <is>
          <t>read</t>
        </is>
      </c>
      <c r="F43" s="12" t="n"/>
      <c r="G43" s="15" t="inlineStr">
        <is>
          <t>How the basis behaves on a sale, with the authority.</t>
        </is>
      </c>
    </row>
    <row r="44">
      <c r="A44" s="17" t="inlineStr">
        <is>
          <t>summary.tax_billed_amount</t>
        </is>
      </c>
      <c r="B44" s="5" t="inlineStr">
        <is>
          <t>MISSING</t>
        </is>
      </c>
      <c r="C44" s="5" t="inlineStr">
        <is>
          <t>Internal pipeline only</t>
        </is>
      </c>
      <c r="D44" s="5" t="inlineStr">
        <is>
          <t>—</t>
        </is>
      </c>
      <c r="E44" s="5" t="inlineStr">
        <is>
          <t>read</t>
        </is>
      </c>
      <c r="F44" s="12" t="n"/>
      <c r="G44" s="15" t="inlineStr">
        <is>
          <t>See parcel: read off the county assessor's portal by the internal pipeline only.</t>
        </is>
      </c>
    </row>
    <row r="45">
      <c r="A45" s="17" t="inlineStr">
        <is>
          <t>summary.tax_billed_year</t>
        </is>
      </c>
      <c r="B45" s="5" t="inlineStr">
        <is>
          <t>MISSING</t>
        </is>
      </c>
      <c r="C45" s="5" t="inlineStr">
        <is>
          <t>Internal pipeline only</t>
        </is>
      </c>
      <c r="D45" s="5" t="inlineStr">
        <is>
          <t>—</t>
        </is>
      </c>
      <c r="E45" s="5" t="inlineStr">
        <is>
          <t>read</t>
        </is>
      </c>
      <c r="F45" s="12" t="n"/>
      <c r="G45" s="15" t="inlineStr">
        <is>
          <t>See parcel: read off the county assessor's portal by the internal pipeline only.</t>
        </is>
      </c>
    </row>
    <row r="46">
      <c r="A46" s="17" t="inlineStr">
        <is>
          <t>summary.tax_divisor</t>
        </is>
      </c>
      <c r="B46" s="5" t="inlineStr">
        <is>
          <t>100</t>
        </is>
      </c>
      <c r="C46" s="5" t="inlineStr">
        <is>
          <t>Vendored county rate table</t>
        </is>
      </c>
      <c r="D46" s="5" t="inlineStr">
        <is>
          <t>property_tax_table.STATE_RULES['AZ']</t>
        </is>
      </c>
      <c r="E46" s="5" t="inlineStr">
        <is>
          <t>read</t>
        </is>
      </c>
      <c r="F46" s="12" t="n"/>
      <c r="G46" s="15" t="inlineStr">
        <is>
          <t>The rate's unit in Arizona: per $100 of assessed value.</t>
        </is>
      </c>
    </row>
    <row r="47">
      <c r="A47" s="17" t="inlineStr">
        <is>
          <t>summary.tax_exemption</t>
        </is>
      </c>
      <c r="B47" s="5" t="inlineStr">
        <is>
          <t>MISSING</t>
        </is>
      </c>
      <c r="C47" s="5" t="inlineStr">
        <is>
          <t>Internal pipeline only</t>
        </is>
      </c>
      <c r="D47" s="5" t="inlineStr">
        <is>
          <t>—</t>
        </is>
      </c>
      <c r="E47" s="5" t="inlineStr">
        <is>
          <t>read</t>
        </is>
      </c>
      <c r="F47" s="12" t="n"/>
      <c r="G47" s="15" t="inlineStr">
        <is>
          <t>See parcel: read off the county assessor's portal by the internal pipeline only.</t>
        </is>
      </c>
    </row>
    <row r="48">
      <c r="A48" s="17" t="inlineStr">
        <is>
          <t>summary.tax_parcel_id</t>
        </is>
      </c>
      <c r="B48" s="5" t="inlineStr">
        <is>
          <t>MISSING</t>
        </is>
      </c>
      <c r="C48" s="5" t="inlineStr">
        <is>
          <t>Internal pipeline only</t>
        </is>
      </c>
      <c r="D48" s="5" t="inlineStr">
        <is>
          <t>—</t>
        </is>
      </c>
      <c r="E48" s="5" t="inlineStr">
        <is>
          <t>read</t>
        </is>
      </c>
      <c r="F48" s="12" t="n"/>
      <c r="G48" s="15" t="inlineStr">
        <is>
          <t>The internal pipeline reads the parcel, tax district, assessed value, exemption and billed amount off the county assessor's portal; the demo shows the county's published rate only.</t>
        </is>
      </c>
    </row>
    <row r="49">
      <c r="A49" s="17" t="inlineStr">
        <is>
          <t>summary.tax_per_unit_flag</t>
        </is>
      </c>
      <c r="B49" s="5" t="inlineStr">
        <is>
          <t>OUTSIDE the band (the statement's line per unit): $4,441 per unit a year is outside the…</t>
        </is>
      </c>
      <c r="C49" s="5" t="inlineStr">
        <is>
          <t>Vendored county rate table</t>
        </is>
      </c>
      <c r="D49" s="5" t="inlineStr">
        <is>
          <t>property_tax_table.band_check</t>
        </is>
      </c>
      <c r="E49" s="5" t="inlineStr">
        <is>
          <t>derived</t>
        </is>
      </c>
      <c r="F49" s="5" t="inlineStr">
        <is>
          <t>summary.tax_statement_amount, summary.units_total, summary.state</t>
        </is>
      </c>
      <c r="G49" s="15" t="inlineStr">
        <is>
          <t>A sanity check against the state's typical per-unit range. It flags; it never changes a figure.</t>
        </is>
      </c>
    </row>
    <row r="50">
      <c r="A50" s="17" t="inlineStr">
        <is>
          <t>summary.tax_rate_as_billed</t>
        </is>
      </c>
      <c r="B50" s="5" t="inlineStr">
        <is>
          <t>10.26</t>
        </is>
      </c>
      <c r="C50" s="5" t="inlineStr">
        <is>
          <t>Vendored county rate table</t>
        </is>
      </c>
      <c r="D50" s="5" t="inlineStr">
        <is>
          <t>property_tax_table.COUNTY_RATES[('AZ', 'maricopa')]</t>
        </is>
      </c>
      <c r="E50" s="5" t="inlineStr">
        <is>
          <t>read</t>
        </is>
      </c>
      <c r="F50" s="12" t="n"/>
      <c r="G50" s="15"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1">
      <c r="A51" s="17" t="inlineStr">
        <is>
          <t>summary.tax_rate_evidence</t>
        </is>
      </c>
      <c r="B51" s="5" t="inlineStr">
        <is>
          <t>Vendored county rate table: 10.2573 per $100 of assessed value, tax year 2025 — Tax are…</t>
        </is>
      </c>
      <c r="C51" s="5" t="inlineStr">
        <is>
          <t>Vendored county rate table</t>
        </is>
      </c>
      <c r="D51" s="5" t="inlineStr">
        <is>
          <t>property_tax_table.evidence_text</t>
        </is>
      </c>
      <c r="E51" s="5" t="inlineStr">
        <is>
          <t>derived</t>
        </is>
      </c>
      <c r="F51" s="5" t="inlineStr">
        <is>
          <t>summary.state, summary.county</t>
        </is>
      </c>
      <c r="G51" s="15" t="inlineStr">
        <is>
          <t>The citation, tax year and jurisdiction stack behind the rate, or the honest note that none is on file.</t>
        </is>
      </c>
    </row>
    <row r="52">
      <c r="A52" s="17" t="inlineStr">
        <is>
          <t>summary.tax_rate_year</t>
        </is>
      </c>
      <c r="B52" s="5" t="inlineStr">
        <is>
          <t>2,025</t>
        </is>
      </c>
      <c r="C52" s="5" t="inlineStr">
        <is>
          <t>Vendored county rate table</t>
        </is>
      </c>
      <c r="D52" s="5" t="inlineStr">
        <is>
          <t>property_tax_table.COUNTY_RATES[('AZ', 'maricopa')]</t>
        </is>
      </c>
      <c r="E52" s="5" t="inlineStr">
        <is>
          <t>read</t>
        </is>
      </c>
      <c r="F52" s="12" t="n"/>
      <c r="G52" s="15" t="inlineStr">
        <is>
          <t>The tax year of the rate on file. A bill from another year is displayed, not tied out.</t>
        </is>
      </c>
    </row>
    <row r="53">
      <c r="A53" s="17" t="inlineStr">
        <is>
          <t>summary.tax_statement_amount</t>
        </is>
      </c>
      <c r="B53" s="5" t="inlineStr">
        <is>
          <t>106,586.4</t>
        </is>
      </c>
      <c r="C53" s="5" t="inlineStr">
        <is>
          <t>Wildflower Crossing T-12.xlsx</t>
        </is>
      </c>
      <c r="D53" s="5" t="inlineStr">
        <is>
          <t>Property Taxes lines</t>
        </is>
      </c>
      <c r="E53" s="5" t="inlineStr">
        <is>
          <t>computed</t>
        </is>
      </c>
      <c r="F53" s="5" t="inlineStr">
        <is>
          <t>t12.rows</t>
        </is>
      </c>
      <c r="G53" s="15" t="inlineStr">
        <is>
          <t>The statement's lines categorised as Property Taxes, summed over its twelve months. As billed in the statement, not the county's bill.</t>
        </is>
      </c>
    </row>
    <row r="54">
      <c r="A54" s="17" t="inlineStr">
        <is>
          <t>summary.units_total</t>
        </is>
      </c>
      <c r="B54" s="5" t="inlineStr">
        <is>
          <t>24</t>
        </is>
      </c>
      <c r="C54" s="5" t="inlineStr">
        <is>
          <t>Wildflower Crossing Rent Roll.xlsx</t>
        </is>
      </c>
      <c r="D54" s="5" t="inlineStr">
        <is>
          <t>—</t>
        </is>
      </c>
      <c r="E54" s="5" t="inlineStr">
        <is>
          <t>derived</t>
        </is>
      </c>
      <c r="F54" s="5" t="inlineStr">
        <is>
          <t>rent_roll.units</t>
        </is>
      </c>
      <c r="G54" s="15" t="inlineStr">
        <is>
          <t>Counted from the rows of the uploaded rent roll.</t>
        </is>
      </c>
    </row>
    <row r="55">
      <c r="A55" s="17" t="inlineStr">
        <is>
          <t>summary.year_built</t>
        </is>
      </c>
      <c r="B55" s="5" t="inlineStr">
        <is>
          <t>2,021</t>
        </is>
      </c>
      <c r="C55" s="5" t="inlineStr">
        <is>
          <t>Wildflower Crossing Offering Memorandum.pdf</t>
        </is>
      </c>
      <c r="D55" s="5" t="inlineStr">
        <is>
          <t>p.1</t>
        </is>
      </c>
      <c r="E55" s="5" t="inlineStr">
        <is>
          <t>read</t>
        </is>
      </c>
      <c r="F55" s="12" t="n"/>
      <c r="G55" s="15" t="inlineStr">
        <is>
          <t>munity in a market that does not exist.
Year built: 2021.  Occupancy: 93.8%.  Asking price: $7,4</t>
        </is>
      </c>
    </row>
    <row r="56">
      <c r="A56" s="17" t="inlineStr">
        <is>
          <t>summary.zip</t>
        </is>
      </c>
      <c r="B56" s="5" t="inlineStr">
        <is>
          <t>85204</t>
        </is>
      </c>
      <c r="C56" s="5" t="inlineStr">
        <is>
          <t>Wildflower Crossing Offering Memorandum.pdf</t>
        </is>
      </c>
      <c r="D56" s="5" t="inlineStr">
        <is>
          <t>p.1</t>
        </is>
      </c>
      <c r="E56" s="5" t="inlineStr">
        <is>
          <t>read</t>
        </is>
      </c>
      <c r="F56" s="12" t="n"/>
      <c r="G56" s="15" t="inlineStr">
        <is>
          <t>ry figure below is made up for testing.
Address: 100 Example Way, Mesa, Maricopa County, AZ 85204 (an invented address).
Executive Summar</t>
        </is>
      </c>
    </row>
    <row r="57">
      <c r="A57" s="17" t="inlineStr">
        <is>
          <t>supply.rings</t>
        </is>
      </c>
      <c r="B57" s="5" t="inlineStr">
        <is>
          <t>0 entries</t>
        </is>
      </c>
      <c r="C57" s="5" t="inlineStr">
        <is>
          <t>Not run in the upload demo</t>
        </is>
      </c>
      <c r="D57" s="5" t="inlineStr">
        <is>
          <t>—</t>
        </is>
      </c>
      <c r="E57" s="5" t="inlineStr">
        <is>
          <t>read</t>
        </is>
      </c>
      <c r="F57" s="12" t="n"/>
      <c r="G57" s="15" t="inlineStr">
        <is>
          <t>Not run in the upload demo. This section needs data sources the demo does not reach, so it is left empty rather than filled with placeholders.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2026-10-21T00:00:00Z</dcterms:created>
  <dcterms:modified xsi:type="dcterms:W3CDTF">2026-10-21T00:00:00Z</dcterms:modified>
  <cp:lastModifiedBy>AI Underwriting Pipeline</cp:lastModifiedBy>
</cp:coreProperties>
</file>