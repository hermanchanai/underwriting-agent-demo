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al summary" sheetId="1" state="visible" r:id="rId1"/>
    <sheet name="Demand" sheetId="2" state="visible" r:id="rId2"/>
    <sheet name="Rent comps" sheetId="3" state="visible" r:id="rId3"/>
    <sheet name="Property tax" sheetId="4" state="visible" r:id="rId4"/>
    <sheet name="Supply" sheetId="5" state="visible" r:id="rId5"/>
    <sheet name="T-12 Raw data" sheetId="6" state="visible" r:id="rId6"/>
    <sheet name="T-12 Analysis" sheetId="7" state="visible" r:id="rId7"/>
    <sheet name="T-12 Audit trail" sheetId="8" state="visible" r:id="rId8"/>
    <sheet name="RR Raw data" sheetId="9" state="visible" r:id="rId9"/>
    <sheet name="RR Analysis" sheetId="10" state="visible" r:id="rId10"/>
    <sheet name="RR Audit trail" sheetId="11" state="visible" r:id="rId11"/>
    <sheet name="Model-ready outputs" sheetId="12" state="visible" r:id="rId12"/>
    <sheet name="Audit trail" sheetId="13" state="visible" r:id="rId13"/>
  </sheets>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
    <numFmt numFmtId="167" formatCode="yyyy-mm-dd"/>
    <numFmt numFmtId="168" formatCode="mm/dd/yyyy"/>
  </numFmts>
  <fonts count="8">
    <font>
      <name val="Calibri"/>
      <family val="2"/>
      <color theme="1"/>
      <sz val="11"/>
      <scheme val="minor"/>
    </font>
    <font>
      <name val="Calibri"/>
      <b val="1"/>
      <sz val="14"/>
    </font>
    <font>
      <name val="Calibri"/>
      <i val="1"/>
      <color rgb="00595959"/>
      <sz val="10"/>
    </font>
    <font>
      <name val="Calibri"/>
      <b val="1"/>
      <color rgb="00FFFFFF"/>
      <sz val="11"/>
    </font>
    <font>
      <name val="Calibri"/>
      <sz val="11"/>
    </font>
    <font>
      <name val="Calibri"/>
      <b val="1"/>
      <sz val="11"/>
    </font>
    <font/>
    <font>
      <name val="Calibri"/>
      <sz val="10"/>
    </font>
  </fonts>
  <fills count="5">
    <fill>
      <patternFill/>
    </fill>
    <fill>
      <patternFill patternType="gray125"/>
    </fill>
    <fill>
      <patternFill patternType="solid">
        <fgColor rgb="00595959"/>
      </patternFill>
    </fill>
    <fill>
      <patternFill patternType="solid">
        <fgColor rgb="00D9D9D9"/>
      </patternFill>
    </fill>
    <fill>
      <patternFill patternType="solid">
        <fgColor rgb="00F2F2F2"/>
      </patternFill>
    </fill>
  </fills>
  <borders count="3">
    <border>
      <left/>
      <right/>
      <top/>
      <bottom/>
      <diagonal/>
    </border>
    <border>
      <bottom style="medium">
        <color rgb="00808080"/>
      </bottom>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0" fillId="0" borderId="1" pivotButton="0" quotePrefix="0" xfId="0"/>
    <xf numFmtId="0" fontId="3" fillId="2" borderId="0" pivotButton="0" quotePrefix="0" xfId="0"/>
    <xf numFmtId="49" fontId="4" fillId="0" borderId="0" pivotButton="0" quotePrefix="0" xfId="0"/>
    <xf numFmtId="0" fontId="2" fillId="0" borderId="0" applyAlignment="1" pivotButton="0" quotePrefix="0" xfId="0">
      <alignment vertical="top" wrapText="1"/>
    </xf>
    <xf numFmtId="3" fontId="4" fillId="0" borderId="0" pivotButton="0" quotePrefix="0" xfId="0"/>
    <xf numFmtId="1" fontId="4" fillId="0" borderId="0" pivotButton="0" quotePrefix="0" xfId="0"/>
    <xf numFmtId="10" fontId="4" fillId="0" borderId="0" pivotButton="0" quotePrefix="0" xfId="0"/>
    <xf numFmtId="164" fontId="4" fillId="0" borderId="0" pivotButton="0" quotePrefix="0" xfId="0"/>
    <xf numFmtId="165" fontId="4" fillId="0" borderId="0" pivotButton="0" quotePrefix="0" xfId="0"/>
    <xf numFmtId="0" fontId="4" fillId="0" borderId="0" pivotButton="0" quotePrefix="0" xfId="0"/>
    <xf numFmtId="0" fontId="5" fillId="0" borderId="0" pivotButton="0" quotePrefix="0" xfId="0"/>
    <xf numFmtId="0" fontId="5" fillId="3" borderId="2" applyAlignment="1" pivotButton="0" quotePrefix="0" xfId="0">
      <alignment vertical="top" wrapText="1"/>
    </xf>
    <xf numFmtId="3" fontId="5" fillId="0" borderId="0" pivotButton="0" quotePrefix="0" xfId="0"/>
    <xf numFmtId="0" fontId="6" fillId="0" borderId="0" pivotButton="0" quotePrefix="0" xfId="0"/>
    <xf numFmtId="3" fontId="0" fillId="0" borderId="0" pivotButton="0" quotePrefix="0" xfId="0"/>
    <xf numFmtId="165" fontId="0" fillId="0" borderId="0" pivotButton="0" quotePrefix="0" xfId="0"/>
    <xf numFmtId="0" fontId="5" fillId="4" borderId="0" pivotButton="0" quotePrefix="0" xfId="0"/>
    <xf numFmtId="3" fontId="5" fillId="4" borderId="0" pivotButton="0" quotePrefix="0" xfId="0"/>
    <xf numFmtId="165" fontId="5" fillId="4" borderId="0" pivotButton="0" quotePrefix="0" xfId="0"/>
    <xf numFmtId="49" fontId="5" fillId="4" borderId="0" pivotButton="0" quotePrefix="0" xfId="0"/>
    <xf numFmtId="49" fontId="4" fillId="0" borderId="0" applyAlignment="1" pivotButton="0" quotePrefix="0" xfId="0">
      <alignment vertical="top" wrapText="1"/>
    </xf>
    <xf numFmtId="166" fontId="4" fillId="0" borderId="0" pivotButton="0" quotePrefix="0" xfId="0"/>
    <xf numFmtId="168" fontId="4" fillId="0" borderId="0" pivotButton="0" quotePrefix="0" xfId="0"/>
    <xf numFmtId="4" fontId="4" fillId="0" borderId="0" pivotButton="0" quotePrefix="0" xfId="0"/>
    <xf numFmtId="168" fontId="0" fillId="0" borderId="0" pivotButton="0" quotePrefix="0" xfId="0"/>
    <xf numFmtId="0" fontId="0" fillId="0" borderId="0" applyAlignment="1" pivotButton="0" quotePrefix="0" xfId="0">
      <alignment vertical="top" wrapText="1"/>
    </xf>
    <xf numFmtId="49" fontId="5" fillId="0" borderId="0" pivotButton="0" quotePrefix="0" xfId="0"/>
    <xf numFmtId="49" fontId="7"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a:p>
            <a:pPr>
              <a:defRPr/>
            </a:pPr>
            <a:r>
              <a:t>Units by floor plan</a:t>
            </a:r>
          </a:p>
        </rich>
      </tx>
    </title>
    <plotArea>
      <barChart>
        <barDir val="col"/>
        <grouping val="clustered"/>
        <ser>
          <idx val="0"/>
          <order val="0"/>
          <tx>
            <strRef>
              <f>'RR Analysis'!D8</f>
            </strRef>
          </tx>
          <spPr>
            <a:ln>
              <a:prstDash val="solid"/>
            </a:ln>
          </spPr>
          <cat>
            <numRef>
              <f>'RR Analysis'!$B$9:$B$11</f>
            </numRef>
          </cat>
          <val>
            <numRef>
              <f>'RR Analysis'!$D$9:$D$11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Units</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In-place vs new move-in vs market rent for model</a:t>
            </a:r>
          </a:p>
        </rich>
      </tx>
    </title>
    <plotArea>
      <barChart>
        <barDir val="col"/>
        <grouping val="clustered"/>
        <ser>
          <idx val="0"/>
          <order val="0"/>
          <tx>
            <strRef>
              <f>'RR Analysis'!E8</f>
            </strRef>
          </tx>
          <spPr>
            <a:ln>
              <a:prstDash val="solid"/>
            </a:ln>
          </spPr>
          <cat>
            <numRef>
              <f>'RR Analysis'!$B$9:$B$11</f>
            </numRef>
          </cat>
          <val>
            <numRef>
              <f>'RR Analysis'!$E$9:$E$11</f>
            </numRef>
          </val>
        </ser>
        <ser>
          <idx val="1"/>
          <order val="1"/>
          <tx>
            <strRef>
              <f>'RR Analysis'!H8</f>
            </strRef>
          </tx>
          <spPr>
            <a:ln>
              <a:prstDash val="solid"/>
            </a:ln>
          </spPr>
          <cat>
            <numRef>
              <f>'RR Analysis'!$B$9:$B$11</f>
            </numRef>
          </cat>
          <val>
            <numRef>
              <f>'RR Analysis'!$H$9:$H$11</f>
            </numRef>
          </val>
        </ser>
        <ser>
          <idx val="2"/>
          <order val="2"/>
          <tx>
            <strRef>
              <f>'RR Analysis'!J8</f>
            </strRef>
          </tx>
          <spPr>
            <a:ln>
              <a:prstDash val="solid"/>
            </a:ln>
          </spPr>
          <cat>
            <numRef>
              <f>'RR Analysis'!$B$9:$B$11</f>
            </numRef>
          </cat>
          <val>
            <numRef>
              <f>'RR Analysis'!$J$9:$J$11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Rent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8</row>
      <rowOff>0</rowOff>
    </from>
    <ext cx="5760000" cy="270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24</row>
      <rowOff>0</rowOff>
    </from>
    <ext cx="5760000" cy="270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H78"/>
  <sheetViews>
    <sheetView workbookViewId="0">
      <pane ySplit="4" topLeftCell="A5" activePane="bottomLeft" state="frozen"/>
      <selection pane="bottomLeft" activeCell="A1" sqref="A1"/>
    </sheetView>
  </sheetViews>
  <sheetFormatPr baseColWidth="8" defaultRowHeight="15"/>
  <cols>
    <col width="34" customWidth="1" min="1" max="1"/>
    <col width="46" customWidth="1" min="2" max="2"/>
    <col width="62" customWidth="1" min="3" max="3"/>
  </cols>
  <sheetData>
    <row r="1">
      <c r="A1" s="1" t="inlineStr">
        <is>
          <t>Deal summary</t>
        </is>
      </c>
    </row>
    <row r="2">
      <c r="A2" s="2" t="inlineStr">
        <is>
          <t>Wildflower Crossing — as of 2025-11-12</t>
        </is>
      </c>
    </row>
    <row r="3">
      <c r="A3" s="2" t="inlineStr">
        <is>
          <t>AI Underwriting Pipeline — Sample Outputs</t>
        </is>
      </c>
    </row>
    <row r="4">
      <c r="A4" s="3" t="n"/>
      <c r="B4" s="3" t="n"/>
      <c r="C4" s="3" t="n"/>
      <c r="D4" s="3" t="n"/>
      <c r="E4" s="3" t="n"/>
      <c r="F4" s="3" t="n"/>
      <c r="G4" s="3" t="n"/>
      <c r="H4" s="3" t="n"/>
    </row>
    <row r="5">
      <c r="A5" s="4" t="inlineStr">
        <is>
          <t>Identification</t>
        </is>
      </c>
      <c r="B5" s="4" t="n"/>
      <c r="C5" s="4" t="n"/>
    </row>
    <row r="6">
      <c r="A6" s="5" t="inlineStr">
        <is>
          <t>Deal name</t>
        </is>
      </c>
      <c r="B6" s="5" t="inlineStr">
        <is>
          <t>Wildflower Crossing</t>
        </is>
      </c>
      <c r="D6" s="6" t="inlineStr">
        <is>
          <t>Wildflower Crossing Offering Memorandum.pdf — p.1</t>
        </is>
      </c>
    </row>
    <row r="7">
      <c r="A7" s="5" t="inlineStr">
        <is>
          <t>Street address</t>
        </is>
      </c>
      <c r="B7" s="5" t="inlineStr">
        <is>
          <t>100 Example Way</t>
        </is>
      </c>
      <c r="D7" s="6" t="inlineStr">
        <is>
          <t>Wildflower Crossing Offering Memorandum.pdf — p.1</t>
        </is>
      </c>
    </row>
    <row r="8">
      <c r="A8" s="5" t="inlineStr">
        <is>
          <t>City</t>
        </is>
      </c>
      <c r="B8" s="5" t="inlineStr">
        <is>
          <t>Mesa</t>
        </is>
      </c>
      <c r="D8" s="6" t="inlineStr">
        <is>
          <t>Wildflower Crossing Offering Memorandum.pdf — p.1</t>
        </is>
      </c>
    </row>
    <row r="9">
      <c r="A9" s="5" t="inlineStr">
        <is>
          <t>State</t>
        </is>
      </c>
      <c r="B9" s="5" t="inlineStr">
        <is>
          <t>AZ</t>
        </is>
      </c>
      <c r="D9" s="6" t="inlineStr">
        <is>
          <t>Wildflower Crossing Offering Memorandum.pdf — p.1</t>
        </is>
      </c>
    </row>
    <row r="10">
      <c r="A10" s="5" t="inlineStr">
        <is>
          <t>ZIP</t>
        </is>
      </c>
      <c r="B10" s="5" t="inlineStr">
        <is>
          <t>85204</t>
        </is>
      </c>
      <c r="D10" s="6" t="inlineStr">
        <is>
          <t>Wildflower Crossing Offering Memorandum.pdf — p.1</t>
        </is>
      </c>
    </row>
    <row r="11">
      <c r="A11" s="5" t="inlineStr">
        <is>
          <t>County</t>
        </is>
      </c>
      <c r="B11" s="5" t="inlineStr">
        <is>
          <t>Maricopa</t>
        </is>
      </c>
      <c r="D11" s="6" t="inlineStr">
        <is>
          <t>Wildflower Crossing Offering Memorandum.pdf — p.1</t>
        </is>
      </c>
    </row>
    <row r="12">
      <c r="A12" s="5" t="inlineStr">
        <is>
          <t>MSA</t>
        </is>
      </c>
      <c r="B12" s="5" t="inlineStr">
        <is>
          <t>MISSING</t>
        </is>
      </c>
      <c r="D12" s="6" t="inlineStr">
        <is>
          <t>Not stated in the uploaded documents</t>
        </is>
      </c>
    </row>
    <row r="13">
      <c r="A13" s="5" t="inlineStr">
        <is>
          <t>Address resolved from</t>
        </is>
      </c>
      <c r="B13" s="5" t="inlineStr">
        <is>
          <t>Internal pipeline only</t>
        </is>
      </c>
      <c r="C13" s="6" t="inlineStr">
        <is>
          <t>The internal pipeline geocodes the address and records how it resolved; the demo takes the address as the memorandum states it.</t>
        </is>
      </c>
    </row>
    <row r="15">
      <c r="A15" s="4" t="inlineStr">
        <is>
          <t>Property</t>
        </is>
      </c>
      <c r="B15" s="4" t="n"/>
      <c r="C15" s="4" t="n"/>
    </row>
    <row r="16">
      <c r="A16" s="5" t="inlineStr">
        <is>
          <t>Product type</t>
        </is>
      </c>
      <c r="B16" s="5" t="inlineStr">
        <is>
          <t>build-for-rent</t>
        </is>
      </c>
      <c r="D16" s="6" t="inlineStr">
        <is>
          <t>Wildflower Crossing Offering Memorandum.pdf — p.1</t>
        </is>
      </c>
    </row>
    <row r="17">
      <c r="A17" s="5" t="inlineStr">
        <is>
          <t>Structure</t>
        </is>
      </c>
      <c r="B17" s="5" t="inlineStr">
        <is>
          <t>MISSING</t>
        </is>
      </c>
      <c r="D17" s="6" t="inlineStr">
        <is>
          <t>Not stated in the uploaded documents</t>
        </is>
      </c>
    </row>
    <row r="18">
      <c r="A18" s="5" t="inlineStr">
        <is>
          <t>Unit count</t>
        </is>
      </c>
      <c r="B18" s="7" t="n">
        <v>24</v>
      </c>
      <c r="C18" s="6" t="inlineStr">
        <is>
          <t>Divisor for every per-unit figure in the output set.</t>
        </is>
      </c>
      <c r="D18" s="6" t="inlineStr">
        <is>
          <t>Wildflower Crossing Rent Roll.xlsx (derived)</t>
        </is>
      </c>
    </row>
    <row r="19">
      <c r="A19" s="5" t="inlineStr">
        <is>
          <t>Year built</t>
        </is>
      </c>
      <c r="B19" s="8" t="n">
        <v>2021</v>
      </c>
      <c r="D19" s="6" t="inlineStr">
        <is>
          <t>Wildflower Crossing Offering Memorandum.pdf — p.1</t>
        </is>
      </c>
    </row>
    <row r="20">
      <c r="A20" s="5" t="inlineStr">
        <is>
          <t>Product detail</t>
        </is>
      </c>
      <c r="B20" s="5" t="inlineStr">
        <is>
          <t>MISSING</t>
        </is>
      </c>
      <c r="D20" s="6" t="inlineStr">
        <is>
          <t>Not stated in the uploaded documents</t>
        </is>
      </c>
    </row>
    <row r="21">
      <c r="A21" s="5" t="inlineStr">
        <is>
          <t>Construction status</t>
        </is>
      </c>
      <c r="B21" s="5" t="inlineStr">
        <is>
          <t>MISSING</t>
        </is>
      </c>
      <c r="D21" s="6" t="inlineStr">
        <is>
          <t>Not stated in the uploaded documents</t>
        </is>
      </c>
    </row>
    <row r="22">
      <c r="A22" s="5" t="inlineStr">
        <is>
          <t>Delivery / CO date</t>
        </is>
      </c>
      <c r="B22" s="5" t="inlineStr">
        <is>
          <t>MISSING</t>
        </is>
      </c>
      <c r="D22" s="6" t="inlineStr">
        <is>
          <t>Not stated in the uploaded documents</t>
        </is>
      </c>
    </row>
    <row r="24">
      <c r="A24" s="4" t="inlineStr">
        <is>
          <t>Parties</t>
        </is>
      </c>
      <c r="B24" s="4" t="n"/>
      <c r="C24" s="4" t="n"/>
    </row>
    <row r="25">
      <c r="A25" s="5" t="inlineStr">
        <is>
          <t>Seller entity</t>
        </is>
      </c>
      <c r="B25" s="5" t="inlineStr">
        <is>
          <t>MISSING</t>
        </is>
      </c>
      <c r="D25" s="6" t="inlineStr">
        <is>
          <t>Not stated in the uploaded documents</t>
        </is>
      </c>
    </row>
    <row r="26">
      <c r="A26" s="5" t="inlineStr">
        <is>
          <t>Listing brokerage</t>
        </is>
      </c>
      <c r="B26" s="5" t="inlineStr">
        <is>
          <t>MISSING</t>
        </is>
      </c>
      <c r="D26" s="6" t="inlineStr">
        <is>
          <t>Not stated in the uploaded documents</t>
        </is>
      </c>
    </row>
    <row r="27">
      <c r="A27" s="5" t="inlineStr">
        <is>
          <t>Deal status</t>
        </is>
      </c>
      <c r="B27" s="5" t="inlineStr">
        <is>
          <t>MISSING</t>
        </is>
      </c>
      <c r="D27" s="6" t="inlineStr">
        <is>
          <t>Not stated in the uploaded documents</t>
        </is>
      </c>
    </row>
    <row r="29">
      <c r="A29" s="4" t="inlineStr">
        <is>
          <t>Pricing</t>
        </is>
      </c>
      <c r="B29" s="4" t="n"/>
      <c r="C29" s="4" t="n"/>
    </row>
    <row r="30">
      <c r="A30" s="5" t="inlineStr">
        <is>
          <t>Pricing guidance</t>
        </is>
      </c>
      <c r="B30" s="5" t="inlineStr">
        <is>
          <t>$215,000 per unit (entered on the upload form); the memorandum's own figure is $308,333 per unit (a stated total of $7,400,000 over 24 units, +43.4% against the price entered)</t>
        </is>
      </c>
      <c r="D30" s="6" t="inlineStr">
        <is>
          <t>Wildflower Crossing Offering Memorandum.pdf — p.1</t>
        </is>
      </c>
    </row>
    <row r="31">
      <c r="A31" s="5" t="inlineStr">
        <is>
          <t>Price per unit</t>
        </is>
      </c>
      <c r="B31" s="7" t="n">
        <v>215000</v>
      </c>
      <c r="C31" s="6" t="inlineStr">
        <is>
          <t>Pricing is as stated in the uploaded documents or the notes box, not a market opinion.</t>
        </is>
      </c>
    </row>
    <row r="32">
      <c r="A32" s="5" t="inlineStr">
        <is>
          <t>Total price</t>
        </is>
      </c>
      <c r="B32" s="7">
        <f>B31*B18</f>
        <v/>
      </c>
      <c r="C32" s="6" t="inlineStr">
        <is>
          <t>Price per unit times unit count.</t>
        </is>
      </c>
    </row>
    <row r="33">
      <c r="A33" s="5" t="inlineStr">
        <is>
          <t>Approximate project value</t>
        </is>
      </c>
      <c r="B33" s="7">
        <f>B32</f>
        <v/>
      </c>
    </row>
    <row r="34">
      <c r="A34" s="5" t="inlineStr">
        <is>
          <t>T-12 net operating income</t>
        </is>
      </c>
      <c r="B34" s="7" t="n">
        <v>320597.5200000001</v>
      </c>
      <c r="C34" s="6" t="inlineStr">
        <is>
          <t>From the T-12 analysis workbook's P&amp;L rollup.</t>
        </is>
      </c>
    </row>
    <row r="35">
      <c r="A35" s="5" t="inlineStr">
        <is>
          <t>T-12 cap rate</t>
        </is>
      </c>
      <c r="B35" s="9">
        <f>IFERROR(B34/B32,"")</f>
        <v/>
      </c>
    </row>
    <row r="36">
      <c r="A36" s="5" t="inlineStr">
        <is>
          <t>T-3 net operating income (annualized)</t>
        </is>
      </c>
      <c r="B36" s="7" t="n">
        <v>326379.8400000001</v>
      </c>
      <c r="C36" s="6" t="inlineStr">
        <is>
          <t>Trailing three months times four.</t>
        </is>
      </c>
    </row>
    <row r="37">
      <c r="A37" s="5" t="inlineStr">
        <is>
          <t>T-3 cap rate</t>
        </is>
      </c>
      <c r="B37" s="9">
        <f>IFERROR(B36/B32,"")</f>
        <v/>
      </c>
    </row>
    <row r="39">
      <c r="A39" s="4" t="inlineStr">
        <is>
          <t>Rents</t>
        </is>
      </c>
      <c r="B39" s="4" t="n"/>
      <c r="C39" s="4" t="n"/>
    </row>
    <row r="40">
      <c r="A40" s="5" t="inlineStr">
        <is>
          <t>In-place rent (avg)</t>
        </is>
      </c>
      <c r="B40" s="7" t="n">
        <v>2456.67</v>
      </c>
      <c r="D40" s="6" t="inlineStr">
        <is>
          <t>Wildflower Crossing Rent Roll.xlsx (derived)</t>
        </is>
      </c>
    </row>
    <row r="41">
      <c r="A41" s="5" t="inlineStr">
        <is>
          <t>Market rent for model</t>
        </is>
      </c>
      <c r="B41" s="7" t="n">
        <v>2456.67</v>
      </c>
      <c r="C41" s="6" t="inlineStr">
        <is>
          <t>New move-in rent (residents who moved in inside the lookback window, by move-in date) where the plan has one, otherwise in-place (in-place outright when the roll has no usable lease start or move-in date). Never a blend of new and renewal.</t>
        </is>
      </c>
      <c r="D41" s="6" t="inlineStr">
        <is>
          <t>Wildflower Crossing Rent Roll.xlsx (derived)</t>
        </is>
      </c>
    </row>
    <row r="42">
      <c r="A42" s="5" t="inlineStr">
        <is>
          <t>Fair market value</t>
        </is>
      </c>
      <c r="B42" s="5" t="inlineStr">
        <is>
          <t>Internal pipeline only</t>
        </is>
      </c>
      <c r="C42" s="6" t="inlineStr">
        <is>
          <t>The internal pipeline pulls a market value by web lookup; the demo does not reach the web.</t>
        </is>
      </c>
      <c r="D42" s="6" t="inlineStr">
        <is>
          <t>Not stated in the uploaded documents</t>
        </is>
      </c>
    </row>
    <row r="44">
      <c r="A44" s="4" t="inlineStr">
        <is>
          <t>Taxes</t>
        </is>
      </c>
      <c r="B44" s="4" t="n"/>
      <c r="C44" s="4" t="n"/>
    </row>
    <row r="45">
      <c r="A45" s="5" t="inlineStr">
        <is>
          <t>Tax rate as billed</t>
        </is>
      </c>
      <c r="B45" s="10" t="n">
        <v>10.2573</v>
      </c>
      <c r="C45" s="6" t="inlineStr">
        <is>
          <t>Rate as actually billed — not a statutory or effective rate.</t>
        </is>
      </c>
      <c r="D45" s="6" t="inlineStr">
        <is>
          <t>Vendored county rate table — property_tax_table.COUNTY_RATES[('AZ', 'maricopa')]</t>
        </is>
      </c>
    </row>
    <row r="46">
      <c r="A46" s="5" t="inlineStr">
        <is>
          <t>Assessed value basis</t>
        </is>
      </c>
      <c r="B46" s="5" t="inlineStr">
        <is>
          <t>Internal pipeline only</t>
        </is>
      </c>
      <c r="C46" s="6" t="inlineStr">
        <is>
          <t>See parcel: read off the county assessor's portal by the internal pipeline only.</t>
        </is>
      </c>
      <c r="D46" s="6" t="inlineStr">
        <is>
          <t>Internal pipeline only</t>
        </is>
      </c>
    </row>
    <row r="47">
      <c r="A47" s="5" t="inlineStr">
        <is>
          <t>Assessment ratio</t>
        </is>
      </c>
      <c r="B47" s="11" t="n">
        <v>0.1</v>
      </c>
      <c r="D47" s="6" t="inlineStr">
        <is>
          <t>Vendored county rate table — property_tax_table.STATE_RULES['AZ']</t>
        </is>
      </c>
    </row>
    <row r="48">
      <c r="A48" s="5" t="inlineStr">
        <is>
          <t>Tax divisor</t>
        </is>
      </c>
      <c r="B48" s="7" t="n">
        <v>100</v>
      </c>
      <c r="D48" s="6" t="inlineStr">
        <is>
          <t>Vendored county rate table — property_tax_table.STATE_RULES['AZ']</t>
        </is>
      </c>
    </row>
    <row r="49">
      <c r="A49" s="5" t="inlineStr">
        <is>
          <t>Tax exemption</t>
        </is>
      </c>
      <c r="B49" s="5" t="inlineStr">
        <is>
          <t>Internal pipeline only</t>
        </is>
      </c>
      <c r="C49" s="6" t="inlineStr">
        <is>
          <t>See parcel: read off the county assessor's portal by the internal pipeline only.</t>
        </is>
      </c>
      <c r="D49" s="6" t="inlineStr">
        <is>
          <t>Internal pipeline only</t>
        </is>
      </c>
    </row>
    <row r="50">
      <c r="A50" s="5" t="inlineStr">
        <is>
          <t>Parcel / APN</t>
        </is>
      </c>
      <c r="B50" s="5" t="inlineStr">
        <is>
          <t>MISSING</t>
        </is>
      </c>
      <c r="C50" s="6" t="inlineStr">
        <is>
          <t>The parcel the bill is issued against.</t>
        </is>
      </c>
    </row>
    <row r="51">
      <c r="A51" s="5" t="inlineStr">
        <is>
          <t>Tax area code</t>
        </is>
      </c>
      <c r="B51" s="5" t="inlineStr">
        <is>
          <t>MISSING</t>
        </is>
      </c>
      <c r="C51" s="6" t="inlineStr">
        <is>
          <t>Determines which published rate row applies.</t>
        </is>
      </c>
    </row>
    <row r="52">
      <c r="A52" s="5" t="inlineStr">
        <is>
          <t>Basis label</t>
        </is>
      </c>
      <c r="B52" s="5" t="inlineStr">
        <is>
          <t>Limited property value (LPV), per the county assessor</t>
        </is>
      </c>
      <c r="C52" s="6" t="inlineStr">
        <is>
          <t>Arizona taxes the limited property value, not the price. Under Proposition 117 (Ariz. Const. art. IX sec. 18; A.R.S. sec. 42-13301) the LPV rises at most 5% a year and does not reset on sale, so a buyer inherits the seller's basis and tax priced off the purchase price overstates the bill — roughly threefold on the showcase parcel. With no assessor value on file, no year-one estimate is asserted. The rate table's 'approx residential primary' column is the class-3 owner-occupied rebate (A.R.S. sec. 15-972) and does not apply to a rental; the full primary plus secondary rate is the one billed.</t>
        </is>
      </c>
    </row>
    <row r="53">
      <c r="A53" s="5" t="inlineStr">
        <is>
          <t>Computed annual tax</t>
        </is>
      </c>
      <c r="B53" s="7">
        <f>IFERROR(B46*B47/B48*B45-B49,"MISSING")</f>
        <v/>
      </c>
      <c r="C53" s="6" t="inlineStr">
        <is>
          <t>Vendored county rate table: 10.2573 per $100 of assessed value, tax year 2025 — Tax area code 971300 — City of Phoenix / Deer Valley Unified School District #97: Primary rate 6.7007; Secondary rate 3.5566. Source: Maricopa County, '2025 Tax Rates, Maricopa County, Arizona' (the treasurer's rate table by tax area code), row 971300: primary 6.7007, approx residential primary 5.1401, secondary 3.5566 (maricopa.gov/5160/Tax-Levy-and-Rates — Tax Rate 2025 PDF). Verified 2026-09-04. The parcel's own tax district decides; this is the representative stack for the county. Maricopa publishes rates per tax area code and they vary by district: area 591300 (City of Phoenix / Laveen ESD #59) is 15.7387 in the same table. The parcel's own tax area decides. The 'approx residential primary' column is the owner-occupied rebate and does not apply to a rental. Ratio 10% — legal class 4.2, residential rental (A.R.S. sec. 42-15003 (class four assessed at 10%); A.R.S. sec. 42-12004 (class four includes residential rental property)). The upload demo reaches no county portal: the parcel, tax area code, assessor's value and billed amount are not verified against one, and read MISSING unless an uploaded document stated them. The rate on file is a representative district stack for the county, not the parcel's own.</t>
        </is>
      </c>
    </row>
    <row r="54">
      <c r="A54" s="5" t="inlineStr">
        <is>
          <t>Computed tax per unit</t>
        </is>
      </c>
      <c r="B54" s="7">
        <f>IFERROR(B53/B18,"MISSING")</f>
        <v/>
      </c>
    </row>
    <row r="55">
      <c r="A55" s="5" t="inlineStr">
        <is>
          <t>Billed by the county (MISSING)</t>
        </is>
      </c>
      <c r="B55" s="5" t="inlineStr">
        <is>
          <t>MISSING</t>
        </is>
      </c>
      <c r="C55" s="6" t="inlineStr">
        <is>
          <t>The county's own figure, for the cross-check below.</t>
        </is>
      </c>
    </row>
    <row r="56">
      <c r="A56" s="5" t="inlineStr">
        <is>
          <t>Check: computed vs billed</t>
        </is>
      </c>
      <c r="B56" s="12">
        <f>IF(OR(NOT(ISNUMBER(B53)),NOT(ISNUMBER(B55)),B55=0),"NOT CHECKED",IF(ABS(B53-B55)/B55&lt;=0.02,"ties","REVIEW"))</f>
        <v/>
      </c>
      <c r="C56" s="6" t="inlineStr">
        <is>
          <t>A computed tax that cannot be tied to the actual bill is an estimate wearing the clothes of a fact.</t>
        </is>
      </c>
    </row>
    <row r="57">
      <c r="A57" s="5" t="inlineStr">
        <is>
          <t>Check: difference</t>
        </is>
      </c>
      <c r="B57" s="7">
        <f>IFERROR(B53-B55,"")</f>
        <v/>
      </c>
    </row>
    <row r="59">
      <c r="A59" s="4" t="inlineStr">
        <is>
          <t>Closing costs at the illustrative price</t>
        </is>
      </c>
      <c r="B59" s="4" t="n"/>
      <c r="C59" s="4" t="n"/>
    </row>
    <row r="60">
      <c r="A60" s="5" t="inlineStr">
        <is>
          <t>Transfer tax</t>
        </is>
      </c>
      <c r="B60" s="5" t="inlineStr">
        <is>
          <t>NOT ASSERTED</t>
        </is>
      </c>
      <c r="C60" s="6" t="inlineStr">
        <is>
          <t>Not looked up · Not run in the upload demo. This section needs data sources the demo does not reach, so it is left empty rather than filled with placeholders.</t>
        </is>
      </c>
    </row>
    <row r="61">
      <c r="A61" s="5" t="inlineStr">
        <is>
          <t>Mortgage / recording tax</t>
        </is>
      </c>
      <c r="B61" s="5" t="inlineStr">
        <is>
          <t>NOT ASSERTED</t>
        </is>
      </c>
      <c r="C61" s="6" t="inlineStr">
        <is>
          <t>Not looked up · Not run in the upload demo. This section needs data sources the demo does not reach, so it is left empty rather than filled with placeholders.</t>
        </is>
      </c>
    </row>
    <row r="62">
      <c r="A62" s="5" t="inlineStr">
        <is>
          <t>Closing-cost basis</t>
        </is>
      </c>
      <c r="B62" s="7" t="n">
        <v>5160000</v>
      </c>
      <c r="C62" s="6" t="inlineStr">
        <is>
          <t>Not run in the upload demo. This section needs data sources the demo does not reach, so it is left empty rather than filled with placeholders.</t>
        </is>
      </c>
    </row>
    <row r="64">
      <c r="A64" s="4" t="inlineStr">
        <is>
          <t>Schools</t>
        </is>
      </c>
      <c r="B64" s="4" t="n"/>
      <c r="C64" s="4" t="n"/>
    </row>
    <row r="65">
      <c r="A65" s="5" t="inlineStr">
        <is>
          <t>Elementary school</t>
        </is>
      </c>
      <c r="B65" s="5" t="inlineStr">
        <is>
          <t>Internal pipeline only</t>
        </is>
      </c>
      <c r="C65" s="6" t="inlineStr">
        <is>
          <t>The internal pipeline looks up the attendance-zone elementary, middle and high school and their public ratings; the demo reads a school name only where the memorandum states one and never rates it.</t>
        </is>
      </c>
      <c r="D65" s="6" t="inlineStr">
        <is>
          <t>Not stated in the uploaded documents</t>
        </is>
      </c>
    </row>
    <row r="66">
      <c r="A66" s="5" t="inlineStr">
        <is>
          <t>Elementary rating</t>
        </is>
      </c>
      <c r="B66" s="5" t="inlineStr">
        <is>
          <t>Internal pipeline only</t>
        </is>
      </c>
      <c r="C66" s="6" t="inlineStr">
        <is>
          <t>The internal pipeline looks up the attendance-zone elementary, middle and high school and their public ratings; the demo reads a school name only where the memorandum states one and never rates it.</t>
        </is>
      </c>
    </row>
    <row r="67">
      <c r="A67" s="5" t="inlineStr">
        <is>
          <t>Middle school</t>
        </is>
      </c>
      <c r="B67" s="5" t="inlineStr">
        <is>
          <t>Internal pipeline only</t>
        </is>
      </c>
      <c r="C67" s="6" t="inlineStr">
        <is>
          <t>The internal pipeline looks up the attendance-zone elementary, middle and high school and their public ratings; the demo reads a school name only where the memorandum states one and never rates it.</t>
        </is>
      </c>
      <c r="D67" s="6" t="inlineStr">
        <is>
          <t>Not stated in the uploaded documents</t>
        </is>
      </c>
    </row>
    <row r="68">
      <c r="A68" s="5" t="inlineStr">
        <is>
          <t>Middle rating</t>
        </is>
      </c>
      <c r="B68" s="5" t="inlineStr">
        <is>
          <t>Internal pipeline only</t>
        </is>
      </c>
      <c r="C68" s="6" t="inlineStr">
        <is>
          <t>The internal pipeline looks up the attendance-zone elementary, middle and high school and their public ratings; the demo reads a school name only where the memorandum states one and never rates it.</t>
        </is>
      </c>
    </row>
    <row r="69">
      <c r="A69" s="5" t="inlineStr">
        <is>
          <t>High school</t>
        </is>
      </c>
      <c r="B69" s="5" t="inlineStr">
        <is>
          <t>Internal pipeline only</t>
        </is>
      </c>
      <c r="C69" s="6" t="inlineStr">
        <is>
          <t>The internal pipeline looks up the attendance-zone elementary, middle and high school and their public ratings; the demo reads a school name only where the memorandum states one and never rates it.</t>
        </is>
      </c>
      <c r="D69" s="6" t="inlineStr">
        <is>
          <t>Not stated in the uploaded documents</t>
        </is>
      </c>
    </row>
    <row r="70">
      <c r="A70" s="5" t="inlineStr">
        <is>
          <t>High rating</t>
        </is>
      </c>
      <c r="B70" s="5" t="inlineStr">
        <is>
          <t>Internal pipeline only</t>
        </is>
      </c>
      <c r="C70" s="6" t="inlineStr">
        <is>
          <t>The internal pipeline looks up the attendance-zone elementary, middle and high school and their public ratings; the demo reads a school name only where the memorandum states one and never rates it.</t>
        </is>
      </c>
    </row>
    <row r="72">
      <c r="A72" s="4" t="inlineStr">
        <is>
          <t>Notes</t>
        </is>
      </c>
      <c r="B72" s="4" t="n"/>
      <c r="C72" s="4" t="n"/>
    </row>
    <row r="73">
      <c r="A73" s="5" t="inlineStr">
        <is>
          <t>Notes</t>
        </is>
      </c>
      <c r="B73" s="5" t="inlineStr">
        <is>
          <t>Generated by the upload demo from the documents supplied with this run. Every field reads MISSING unless a document stated it; nothing here is inferred to fill a gap. No licensed data source was used and no price is assumed.</t>
        </is>
      </c>
    </row>
    <row r="75">
      <c r="A75" s="4" t="inlineStr">
        <is>
          <t>Boundaries</t>
        </is>
      </c>
      <c r="B75" s="4" t="n"/>
      <c r="C75" s="4" t="n"/>
    </row>
    <row r="76">
      <c r="A76" s="13" t="inlineStr">
        <is>
          <t>Excluded by design</t>
        </is>
      </c>
      <c r="B76" t="inlineStr">
        <is>
          <t>Third-party licensed rent-comp feeds</t>
        </is>
      </c>
    </row>
    <row r="77">
      <c r="A77" s="13" t="inlineStr">
        <is>
          <t>Excluded by design</t>
        </is>
      </c>
      <c r="B77" t="inlineStr">
        <is>
          <t>Subscription market-data providers</t>
        </is>
      </c>
    </row>
    <row r="78">
      <c r="A78" s="13" t="inlineStr">
        <is>
          <t>Excluded by design</t>
        </is>
      </c>
      <c r="B78" t="inlineStr">
        <is>
          <t>Any comparable-rent, demographic or supply source — the upload demo does not reach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00" customWidth="1" min="1" max="1"/>
  </cols>
  <sheetData>
    <row r="1">
      <c r="A1" s="1" t="inlineStr">
        <is>
          <t>Demand</t>
        </is>
      </c>
    </row>
    <row r="2">
      <c r="A2" s="2" t="inlineStr">
        <is>
          <t>Wildflower Crossing — as of 2025-11-12</t>
        </is>
      </c>
    </row>
    <row r="3">
      <c r="A3" s="2" t="inlineStr">
        <is>
          <t>Public demographic data by drive-ring.</t>
        </is>
      </c>
    </row>
    <row r="4">
      <c r="A4" s="3" t="n"/>
      <c r="B4" s="3" t="n"/>
      <c r="C4" s="3" t="n"/>
      <c r="D4" s="3" t="n"/>
      <c r="E4" s="3" t="n"/>
      <c r="F4" s="3" t="n"/>
      <c r="G4" s="3" t="n"/>
      <c r="H4" s="3" t="n"/>
    </row>
    <row r="5">
      <c r="A5" s="13" t="inlineStr">
        <is>
          <t>No demographic data</t>
        </is>
      </c>
    </row>
    <row r="6">
      <c r="A6" t="inlineStr">
        <is>
          <t>Not run: the market-report service is not part of this offline build, so demand, supply and rent comps were not requested.</t>
        </is>
      </c>
    </row>
    <row r="8">
      <c r="A8" s="2" t="inlineStr">
        <is>
          <t>An empty block that says why it is empty is a deliverable. A block of plausible numbers is not.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100" customWidth="1" min="1" max="1"/>
  </cols>
  <sheetData>
    <row r="1">
      <c r="A1" s="1" t="inlineStr">
        <is>
          <t>Rent comps</t>
        </is>
      </c>
    </row>
    <row r="2">
      <c r="A2" s="2" t="inlineStr">
        <is>
          <t>Wildflower Crossing — as of 2025-11-12</t>
        </is>
      </c>
    </row>
    <row r="3">
      <c r="A3" s="2" t="inlineStr">
        <is>
          <t>Source: the operator's own weekly rent scrape. Asking and net effective are stated separately on every row — a concession-blind comp set is the most common way a rent assumption goes wrong. No licensed comp feed is used.</t>
        </is>
      </c>
    </row>
    <row r="4">
      <c r="A4" s="3" t="n"/>
      <c r="B4" s="3" t="n"/>
      <c r="C4" s="3" t="n"/>
      <c r="D4" s="3" t="n"/>
      <c r="E4" s="3" t="n"/>
      <c r="F4" s="3" t="n"/>
      <c r="G4" s="3" t="n"/>
      <c r="H4" s="3" t="n"/>
    </row>
    <row r="5">
      <c r="A5" s="13" t="inlineStr">
        <is>
          <t>No comparable rent data</t>
        </is>
      </c>
    </row>
    <row r="6">
      <c r="A6" t="inlineStr">
        <is>
          <t>Not run: the market-report service is not part of this offline build, so demand, supply and rent comps were not requested.</t>
        </is>
      </c>
    </row>
    <row r="8">
      <c r="A8" s="4" t="inlineStr">
        <is>
          <t>Stated in the offering memorandum</t>
        </is>
      </c>
      <c r="B8" s="4" t="n"/>
      <c r="C8" s="4" t="n"/>
      <c r="D8" s="4" t="n"/>
      <c r="E8" s="4" t="n"/>
      <c r="F8" s="4" t="n"/>
      <c r="G8" s="4" t="n"/>
      <c r="H8" s="4" t="n"/>
      <c r="I8" s="4" t="n"/>
      <c r="J8" s="4" t="n"/>
    </row>
    <row r="9">
      <c r="A9" s="2" t="inlineStr">
        <is>
          <t>the memorandum states no comparables</t>
        </is>
      </c>
    </row>
    <row r="10">
      <c r="A10" s="6" t="inlineStr">
        <is>
          <t>Retail for-sale comps are not part of this demo. Sale comparables shown here are the whole-community trades the memorandum itself cites.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42" customWidth="1" min="1" max="1"/>
    <col width="42" customWidth="1" min="2" max="2"/>
    <col width="42" customWidth="1" min="3" max="3"/>
    <col width="42" customWidth="1" min="4" max="4"/>
  </cols>
  <sheetData>
    <row r="1">
      <c r="A1" s="1" t="inlineStr">
        <is>
          <t>Property tax</t>
        </is>
      </c>
    </row>
    <row r="2">
      <c r="A2" s="2" t="inlineStr">
        <is>
          <t>Wildflower Crossing — as of 2025-11-12</t>
        </is>
      </c>
    </row>
    <row r="3">
      <c r="A3" s="2" t="inlineStr">
        <is>
          <t>Rates as actually billed, not statutory or effective. The current-year block is checked against the county's own bill; the assumption block is what a buyer should carry at the illustrative price.</t>
        </is>
      </c>
    </row>
    <row r="4">
      <c r="A4" s="3" t="n"/>
      <c r="B4" s="3" t="n"/>
      <c r="C4" s="3" t="n"/>
      <c r="D4" s="3" t="n"/>
      <c r="E4" s="3" t="n"/>
      <c r="F4" s="3" t="n"/>
      <c r="G4" s="3" t="n"/>
      <c r="H4" s="3" t="n"/>
    </row>
    <row r="5">
      <c r="A5" s="4" t="inlineStr">
        <is>
          <t>The rate, as billed</t>
        </is>
      </c>
      <c r="B5" s="4" t="n"/>
      <c r="C5" s="4" t="n"/>
      <c r="D5" s="4" t="n"/>
    </row>
    <row r="6">
      <c r="A6" s="5" t="inlineStr">
        <is>
          <t>Parcel</t>
        </is>
      </c>
      <c r="B6" s="5" t="inlineStr">
        <is>
          <t>Internal pipeline only</t>
        </is>
      </c>
      <c r="C6" s="6" t="inlineStr">
        <is>
          <t>The internal pipeline reads the parcel, tax district, assessed value, exemption and billed amount off the county assessor's portal; the demo shows the county's published rate only.</t>
        </is>
      </c>
      <c r="D6" s="6" t="inlineStr">
        <is>
          <t>Internal pipeline only</t>
        </is>
      </c>
    </row>
    <row r="7">
      <c r="A7" s="5" t="inlineStr">
        <is>
          <t>Tax area code</t>
        </is>
      </c>
      <c r="B7" s="5" t="inlineStr">
        <is>
          <t>Internal pipeline only</t>
        </is>
      </c>
      <c r="C7" s="6" t="inlineStr">
        <is>
          <t>See parcel: read off the county assessor's portal by the internal pipeline only.</t>
        </is>
      </c>
      <c r="D7" s="6" t="inlineStr">
        <is>
          <t>Internal pipeline only</t>
        </is>
      </c>
    </row>
    <row r="8">
      <c r="A8" s="5" t="inlineStr">
        <is>
          <t>Combined rate (per $100 of assessed value)</t>
        </is>
      </c>
      <c r="B8" s="10" t="n">
        <v>10.2573</v>
      </c>
      <c r="C8" s="6" t="inlineStr">
        <is>
          <t>Rate as actually billed — not a statutory or effective rate.</t>
        </is>
      </c>
      <c r="D8" s="6" t="inlineStr">
        <is>
          <t>Vendored county rate table — property_tax_table.COUNTY_RATES[('AZ', 'maricopa')]</t>
        </is>
      </c>
    </row>
    <row r="9">
      <c r="A9" s="5" t="inlineStr">
        <is>
          <t>Assessment ratio (legal class)</t>
        </is>
      </c>
      <c r="B9" s="11" t="n">
        <v>0.1</v>
      </c>
      <c r="D9" s="6" t="inlineStr">
        <is>
          <t>Vendored county rate table — property_tax_table.STATE_RULES['AZ']</t>
        </is>
      </c>
    </row>
    <row r="10">
      <c r="A10" s="5" t="inlineStr">
        <is>
          <t>Rate evidence</t>
        </is>
      </c>
      <c r="B10" s="12" t="n"/>
      <c r="C10" s="6" t="inlineStr">
        <is>
          <t>Vendored county rate table: 10.2573 per $100 of assessed value, tax year 2025 — Tax area code 971300 — City of Phoenix / Deer Valley Unified School District #97: Primary rate 6.7007; Secondary rate 3.5566. Source: Maricopa County, '2025 Tax Rates, Maricopa County, Arizona' (the treasurer's rate table by tax area code), row 971300: primary 6.7007, approx residential primary 5.1401, secondary 3.5566 (maricopa.gov/5160/Tax-Levy-and-Rates — Tax Rate 2025 PDF). Verified 2026-09-04. The parcel's own tax district decides; this is the representative stack for the county. Maricopa publishes rates per tax area code and they vary by district: area 591300 (City of Phoenix / Laveen ESD #59) is 15.7387 in the same table. The parcel's own tax area decides. The 'approx residential primary' column is the owner-occupied rebate and does not apply to a rental. Ratio 10% — legal class 4.2, residential rental (A.R.S. sec. 42-15003 (class four assessed at 10%); A.R.S. sec. 42-12004 (class four includes residential rental property)). The upload demo reaches no county portal: the parcel, tax area code, assessor's value and billed amount are not verified against one, and read MISSING unless an uploaded document stated them. The rate on file is a representative district stack for the county, not the parcel's own.</t>
        </is>
      </c>
    </row>
    <row r="11"/>
    <row r="12">
      <c r="A12" s="4" t="inlineStr">
        <is>
          <t>Current year — computed, then checked against the bill</t>
        </is>
      </c>
      <c r="B12" s="4" t="n"/>
      <c r="C12" s="4" t="n"/>
      <c r="D12" s="4" t="n"/>
    </row>
    <row r="13">
      <c r="A13" s="5" t="inlineStr">
        <is>
          <t>Assessed-value basis</t>
        </is>
      </c>
      <c r="B13" s="12" t="n"/>
      <c r="C13" s="6" t="inlineStr">
        <is>
          <t>Limited property value (LPV), per the county assessor</t>
        </is>
      </c>
      <c r="D13" s="6" t="inlineStr">
        <is>
          <t>Internal pipeline only</t>
        </is>
      </c>
    </row>
    <row r="14">
      <c r="A14" s="5" t="inlineStr">
        <is>
          <t>Assessment ratio</t>
        </is>
      </c>
      <c r="B14" s="11" t="n">
        <v>0.1</v>
      </c>
    </row>
    <row r="15">
      <c r="A15" s="5" t="inlineStr">
        <is>
          <t>Assessed value</t>
        </is>
      </c>
      <c r="B15" s="7">
        <f>B13*B14</f>
        <v/>
      </c>
      <c r="C15" s="6" t="inlineStr">
        <is>
          <t>Basis times the legal-class ratio.</t>
        </is>
      </c>
    </row>
    <row r="16">
      <c r="A16" s="5" t="inlineStr">
        <is>
          <t>Combined rate</t>
        </is>
      </c>
      <c r="B16" s="10" t="n">
        <v>10.2573</v>
      </c>
    </row>
    <row r="17">
      <c r="A17" s="5" t="inlineStr">
        <is>
          <t>Rate divisor (per)</t>
        </is>
      </c>
      <c r="B17" s="7" t="n">
        <v>100</v>
      </c>
      <c r="C17" s="6" t="inlineStr">
        <is>
          <t>The rate's unit. Never defaulted: it decides whether the rate is per $100 or per $1,000.</t>
        </is>
      </c>
    </row>
    <row r="18">
      <c r="A18" s="5" t="inlineStr">
        <is>
          <t>Exemption</t>
        </is>
      </c>
      <c r="B18" s="7" t="n">
        <v>0</v>
      </c>
      <c r="C18" s="6" t="inlineStr">
        <is>
          <t>Normalized: an unstated exemption is zero here, which is what the computed figure assumes.</t>
        </is>
      </c>
      <c r="D18" s="6" t="inlineStr">
        <is>
          <t>Internal pipeline only</t>
        </is>
      </c>
    </row>
    <row r="19">
      <c r="A19" s="5" t="inlineStr">
        <is>
          <t>Computed annual tax</t>
        </is>
      </c>
      <c r="B19" s="7">
        <f>IF(AND(ISNUMBER(B15),ISNUMBER(B16),ISNUMBER(B17)),MAX(0,B15*B16/B17-B18),"MISSING")</f>
        <v/>
      </c>
      <c r="C19" s="6" t="inlineStr">
        <is>
          <t>Assessed value times rate over the divisor, less any exemption. A missing divisor reads MISSING rather than assuming one.</t>
        </is>
      </c>
    </row>
    <row r="20">
      <c r="A20" s="5" t="inlineStr">
        <is>
          <t>County billed amount</t>
        </is>
      </c>
      <c r="B20" s="5" t="inlineStr">
        <is>
          <t>MISSING</t>
        </is>
      </c>
      <c r="C20" s="6" t="inlineStr">
        <is>
          <t>As billed for a year the source did not state.</t>
        </is>
      </c>
      <c r="D20" s="6" t="inlineStr">
        <is>
          <t>Internal pipeline only</t>
        </is>
      </c>
    </row>
    <row r="21">
      <c r="A21" s="5" t="inlineStr">
        <is>
          <t>Computed less billed</t>
        </is>
      </c>
      <c r="B21" s="7">
        <f>IF(AND(ISNUMBER(B19),ISNUMBER(B20)),B19-B20,"NOT CHECKED")</f>
        <v/>
      </c>
      <c r="C21" s="6" t="inlineStr">
        <is>
          <t>Guarded: a missing input renders NOT CHECKED rather than a difference of zero.</t>
        </is>
      </c>
    </row>
    <row r="22">
      <c r="A22" s="5" t="inlineStr">
        <is>
          <t>Check</t>
        </is>
      </c>
      <c r="B22" s="5" t="inlineStr">
        <is>
          <t>NOT CHECKED</t>
        </is>
      </c>
    </row>
    <row r="23">
      <c r="A23" s="5" t="inlineStr">
        <is>
          <t>Property taxes per the statement (T-12)</t>
        </is>
      </c>
      <c r="B23" s="7" t="n">
        <v>106586.4</v>
      </c>
      <c r="C23" s="6" t="inlineStr">
        <is>
          <t>As billed in the uploaded statement over its twelve months — the operator's ledger, not the county's bill, which the demo does not fetch.</t>
        </is>
      </c>
      <c r="D23" s="6" t="inlineStr">
        <is>
          <t>Wildflower Crossing T-12.xlsx — Property Taxes lines (computed)</t>
        </is>
      </c>
    </row>
    <row r="24">
      <c r="A24" s="5" t="inlineStr">
        <is>
          <t>Per-unit sanity band</t>
        </is>
      </c>
      <c r="B24" s="12" t="n"/>
      <c r="C24" s="6" t="inlineStr">
        <is>
          <t>OUTSIDE the band (the statement's line per unit): $4,441 per unit a year is outside the AZ band of $400–$2,600 — double-check the rate, its unit and the assessment ratio against the bill or the statement. The band is a typical range, not a rule: a new-build can sit above it.</t>
        </is>
      </c>
      <c r="D24" s="6" t="inlineStr">
        <is>
          <t>Vendored county rate table — property_tax_table.band_check (derived)</t>
        </is>
      </c>
    </row>
    <row r="25"/>
    <row r="26">
      <c r="A26" s="4" t="inlineStr">
        <is>
          <t>Underwriting assumption at the illustrative price</t>
        </is>
      </c>
      <c r="B26" s="4" t="n"/>
      <c r="C26" s="4" t="n"/>
      <c r="D26" s="4" t="n"/>
    </row>
    <row r="27">
      <c r="A27" s="5" t="inlineStr">
        <is>
          <t>State</t>
        </is>
      </c>
      <c r="B27" s="5" t="inlineStr">
        <is>
          <t>AZ</t>
        </is>
      </c>
    </row>
    <row r="28">
      <c r="A28" s="5" t="inlineStr">
        <is>
          <t>Does the basis reset on sale?</t>
        </is>
      </c>
      <c r="B28" s="5" t="inlineStr">
        <is>
          <t>No</t>
        </is>
      </c>
      <c r="C28" s="6" t="inlineStr">
        <is>
          <t>AZ does not reset the assessed value on sale. Proposition 117 caps growth in the limited property value at 5% a year, so year-one tax is the current basis grown at the cap — NOT the purchase price times the assessment ratio.</t>
        </is>
      </c>
    </row>
    <row r="29">
      <c r="A29" s="5" t="inlineStr">
        <is>
          <t>Purchase price</t>
        </is>
      </c>
      <c r="B29" s="7" t="n">
        <v>5160000</v>
      </c>
    </row>
    <row r="30">
      <c r="A30" s="5" t="inlineStr">
        <is>
          <t>Year-one full value</t>
        </is>
      </c>
      <c r="B30" s="12" t="n"/>
      <c r="C30" s="6" t="inlineStr">
        <is>
          <t>Current LPV grown 5% (the Prop 117 cap)</t>
        </is>
      </c>
    </row>
    <row r="31">
      <c r="A31" s="5" t="inlineStr">
        <is>
          <t>Year-one assessed value</t>
        </is>
      </c>
      <c r="B31" s="12" t="n"/>
      <c r="C31" s="6" t="inlineStr">
        <is>
          <t>Assessed value = full value x assessment ratio</t>
        </is>
      </c>
    </row>
    <row r="32">
      <c r="A32" s="5" t="inlineStr">
        <is>
          <t>Year-one tax</t>
        </is>
      </c>
      <c r="B32" s="12" t="n"/>
      <c r="C32" s="6" t="inlineStr">
        <is>
          <t>The figure to carry into the model.</t>
        </is>
      </c>
    </row>
    <row r="33">
      <c r="A33" s="5" t="inlineStr">
        <is>
          <t>Year-one tax per unit</t>
        </is>
      </c>
      <c r="B33" s="12" t="n"/>
    </row>
    <row r="34"/>
    <row r="35">
      <c r="A35" s="4" t="inlineStr">
        <is>
          <t>What the generic shortcut would have said</t>
        </is>
      </c>
      <c r="B35" s="4" t="n"/>
      <c r="C35" s="4" t="n"/>
      <c r="D35" s="4" t="n"/>
    </row>
    <row r="36">
      <c r="A36" s="5" t="inlineStr">
        <is>
          <t>Assessed value if it reset to the price</t>
        </is>
      </c>
      <c r="B36" s="7" t="n">
        <v>516000</v>
      </c>
      <c r="C36" s="6" t="inlineStr">
        <is>
          <t>Purchase price times the assessment ratio — the pattern that holds in most states.</t>
        </is>
      </c>
    </row>
    <row r="37">
      <c r="A37" s="5" t="inlineStr">
        <is>
          <t>Tax on that basis</t>
        </is>
      </c>
      <c r="B37" s="7" t="n">
        <v>52927.66800000001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00" customWidth="1" min="1" max="1"/>
  </cols>
  <sheetData>
    <row r="1">
      <c r="A1" s="1" t="inlineStr">
        <is>
          <t>Competing supply</t>
        </is>
      </c>
    </row>
    <row r="2">
      <c r="A2" s="2" t="inlineStr">
        <is>
          <t>Wildflower Crossing — as of 2025-11-12</t>
        </is>
      </c>
    </row>
    <row r="3">
      <c r="A3" s="2" t="inlineStr">
        <is>
          <t>Pipeline projects by ring and stage. Stage is stated because entitled units and delivered units are not the same risk. Public permit records.</t>
        </is>
      </c>
    </row>
    <row r="4">
      <c r="A4" s="3" t="n"/>
      <c r="B4" s="3" t="n"/>
      <c r="C4" s="3" t="n"/>
      <c r="D4" s="3" t="n"/>
      <c r="E4" s="3" t="n"/>
      <c r="F4" s="3" t="n"/>
      <c r="G4" s="3" t="n"/>
      <c r="H4" s="3" t="n"/>
    </row>
    <row r="5" ht="32" customHeight="1">
      <c r="A5" s="6" t="inlineStr">
        <is>
          <t>Coverage note: these rings and stages are real and unmodified, and a zero is a genuine zero for the sources covered so far — not a gap left blank. Coverage of the permit and entitlement pipeline is an area of ongoing work and will be expanded, so read this section as a FLOOR on competing supply rather than a census of it.</t>
        </is>
      </c>
    </row>
    <row r="7">
      <c r="A7" s="13" t="inlineStr">
        <is>
          <t>No competing-supply data</t>
        </is>
      </c>
    </row>
    <row r="8">
      <c r="A8" t="inlineStr">
        <is>
          <t>Not run: the market-report service is not part of this offline build, so demand, supply and rent comps were not requested.</t>
        </is>
      </c>
    </row>
    <row r="10">
      <c r="A10" s="2" t="inlineStr">
        <is>
          <t>An empty block that says why it is empty is a deliverable. A block of plausible numbers is not.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3"/>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4" customWidth="1" min="1" max="1"/>
    <col width="24"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c r="A1" s="1" t="inlineStr">
        <is>
          <t>T-12 data</t>
        </is>
      </c>
    </row>
    <row r="2">
      <c r="A2" s="2" t="inlineStr">
        <is>
          <t>Wildflower Crossing — as of 2025-11-12</t>
        </is>
      </c>
    </row>
    <row r="3">
      <c r="A3" s="2" t="inlineStr">
        <is>
          <t>Months run oldest-first, detected from the labels rather than assumed — the trailing-three window depends on it.</t>
        </is>
      </c>
    </row>
    <row r="4">
      <c r="A4" s="3" t="n"/>
      <c r="B4" s="3" t="n"/>
      <c r="C4" s="3" t="n"/>
      <c r="D4" s="3" t="n"/>
      <c r="E4" s="3" t="n"/>
      <c r="F4" s="3" t="n"/>
      <c r="G4" s="3" t="n"/>
      <c r="H4" s="3" t="n"/>
    </row>
    <row r="5">
      <c r="A5" s="14" t="inlineStr">
        <is>
          <t>Line item</t>
        </is>
      </c>
      <c r="B5" s="14" t="inlineStr">
        <is>
          <t>Category</t>
        </is>
      </c>
      <c r="C5" s="14" t="inlineStr">
        <is>
          <t>2025-07</t>
        </is>
      </c>
      <c r="D5" s="14" t="inlineStr">
        <is>
          <t>2025-08</t>
        </is>
      </c>
      <c r="E5" s="14" t="inlineStr">
        <is>
          <t>2025-09</t>
        </is>
      </c>
      <c r="F5" s="14" t="inlineStr">
        <is>
          <t>2025-10</t>
        </is>
      </c>
      <c r="G5" s="14" t="inlineStr">
        <is>
          <t>2025-11</t>
        </is>
      </c>
      <c r="H5" s="14" t="inlineStr">
        <is>
          <t>2025-12</t>
        </is>
      </c>
      <c r="I5" s="14" t="inlineStr">
        <is>
          <t>2026-01</t>
        </is>
      </c>
      <c r="J5" s="14" t="inlineStr">
        <is>
          <t>2026-02</t>
        </is>
      </c>
      <c r="K5" s="14" t="inlineStr">
        <is>
          <t>2026-03</t>
        </is>
      </c>
      <c r="L5" s="14" t="inlineStr">
        <is>
          <t>2026-04</t>
        </is>
      </c>
      <c r="M5" s="14" t="inlineStr">
        <is>
          <t>2026-05</t>
        </is>
      </c>
      <c r="N5" s="14" t="inlineStr">
        <is>
          <t>2026-06</t>
        </is>
      </c>
      <c r="O5" s="14" t="inlineStr">
        <is>
          <t>T-12 total</t>
        </is>
      </c>
      <c r="P5" s="14" t="inlineStr">
        <is>
          <t>T-3 total</t>
        </is>
      </c>
    </row>
    <row r="6">
      <c r="A6" s="5" t="inlineStr">
        <is>
          <t>Gross Potential Rent (4010)</t>
        </is>
      </c>
      <c r="B6" s="5" t="inlineStr">
        <is>
          <t>Gross Potential Rent</t>
        </is>
      </c>
      <c r="C6" s="7" t="n">
        <v>60512</v>
      </c>
      <c r="D6" s="7" t="n">
        <v>60760</v>
      </c>
      <c r="E6" s="7" t="n">
        <v>61008</v>
      </c>
      <c r="F6" s="7" t="n">
        <v>61256</v>
      </c>
      <c r="G6" s="7" t="n">
        <v>61504</v>
      </c>
      <c r="H6" s="7" t="n">
        <v>61752</v>
      </c>
      <c r="I6" s="7" t="n">
        <v>62000</v>
      </c>
      <c r="J6" s="7" t="n">
        <v>62248</v>
      </c>
      <c r="K6" s="7" t="n">
        <v>62496</v>
      </c>
      <c r="L6" s="7" t="n">
        <v>62744</v>
      </c>
      <c r="M6" s="7" t="n">
        <v>62992</v>
      </c>
      <c r="N6" s="7" t="n">
        <v>63240</v>
      </c>
      <c r="O6" s="7">
        <f>SUM(C6:N6)</f>
        <v/>
      </c>
      <c r="P6" s="7">
        <f>SUM(L6:N6)</f>
        <v/>
      </c>
    </row>
    <row r="7">
      <c r="A7" s="5" t="inlineStr">
        <is>
          <t>Gain / (Loss) to Lease (4020)</t>
        </is>
      </c>
      <c r="B7" s="5" t="inlineStr">
        <is>
          <t>Gain / (Loss) to Lease</t>
        </is>
      </c>
      <c r="C7" s="7" t="n">
        <v>-2049.6</v>
      </c>
      <c r="D7" s="7" t="n">
        <v>-2058</v>
      </c>
      <c r="E7" s="7" t="n">
        <v>-2066.4</v>
      </c>
      <c r="F7" s="7" t="n">
        <v>-2074.8</v>
      </c>
      <c r="G7" s="7" t="n">
        <v>-2083.2</v>
      </c>
      <c r="H7" s="7" t="n">
        <v>-2091.6</v>
      </c>
      <c r="I7" s="7" t="n">
        <v>-2100</v>
      </c>
      <c r="J7" s="7" t="n">
        <v>-2108.4</v>
      </c>
      <c r="K7" s="7" t="n">
        <v>-2116.8</v>
      </c>
      <c r="L7" s="7" t="n">
        <v>-2125.2</v>
      </c>
      <c r="M7" s="7" t="n">
        <v>-2133.6</v>
      </c>
      <c r="N7" s="7" t="n">
        <v>-2142</v>
      </c>
      <c r="O7" s="7">
        <f>SUM(C7:N7)</f>
        <v/>
      </c>
      <c r="P7" s="7">
        <f>SUM(L7:N7)</f>
        <v/>
      </c>
    </row>
    <row r="8">
      <c r="A8" s="5" t="inlineStr">
        <is>
          <t>Vacancy (4100)</t>
        </is>
      </c>
      <c r="B8" s="5" t="inlineStr">
        <is>
          <t>Vacancy</t>
        </is>
      </c>
      <c r="C8" s="7" t="n">
        <v>-4196.8</v>
      </c>
      <c r="D8" s="7" t="n">
        <v>-4214</v>
      </c>
      <c r="E8" s="7" t="n">
        <v>-4231.2</v>
      </c>
      <c r="F8" s="7" t="n">
        <v>-4248.4</v>
      </c>
      <c r="G8" s="7" t="n">
        <v>-4265.6</v>
      </c>
      <c r="H8" s="7" t="n">
        <v>-4282.8</v>
      </c>
      <c r="I8" s="7" t="n">
        <v>-4300</v>
      </c>
      <c r="J8" s="7" t="n">
        <v>-4317.2</v>
      </c>
      <c r="K8" s="7" t="n">
        <v>-4334.4</v>
      </c>
      <c r="L8" s="7" t="n">
        <v>-4351.6</v>
      </c>
      <c r="M8" s="7" t="n">
        <v>-4368.8</v>
      </c>
      <c r="N8" s="7" t="n">
        <v>-4386</v>
      </c>
      <c r="O8" s="7">
        <f>SUM(C8:N8)</f>
        <v/>
      </c>
      <c r="P8" s="7">
        <f>SUM(L8:N8)</f>
        <v/>
      </c>
    </row>
    <row r="9">
      <c r="A9" s="5" t="inlineStr">
        <is>
          <t>Concessions (4110)</t>
        </is>
      </c>
      <c r="B9" s="5" t="inlineStr">
        <is>
          <t>Concessions</t>
        </is>
      </c>
      <c r="C9" s="7" t="n">
        <v>-878.4</v>
      </c>
      <c r="D9" s="7" t="n">
        <v>-882</v>
      </c>
      <c r="E9" s="7" t="n">
        <v>-885.6</v>
      </c>
      <c r="F9" s="7" t="n">
        <v>-889.2</v>
      </c>
      <c r="G9" s="7" t="n">
        <v>-892.8</v>
      </c>
      <c r="H9" s="7" t="n">
        <v>-896.4</v>
      </c>
      <c r="I9" s="7" t="n">
        <v>-900</v>
      </c>
      <c r="J9" s="7" t="n">
        <v>-903.6</v>
      </c>
      <c r="K9" s="7" t="n">
        <v>-907.2</v>
      </c>
      <c r="L9" s="7" t="n">
        <v>-910.8</v>
      </c>
      <c r="M9" s="7" t="n">
        <v>-914.4</v>
      </c>
      <c r="N9" s="7" t="n">
        <v>-918</v>
      </c>
      <c r="O9" s="7">
        <f>SUM(C9:N9)</f>
        <v/>
      </c>
      <c r="P9" s="7">
        <f>SUM(L9:N9)</f>
        <v/>
      </c>
    </row>
    <row r="10">
      <c r="A10" s="5" t="inlineStr">
        <is>
          <t>Utility Reimbursement (4200)</t>
        </is>
      </c>
      <c r="B10" s="5" t="inlineStr">
        <is>
          <t>Utility Reimbursements</t>
        </is>
      </c>
      <c r="C10" s="7" t="n">
        <v>3025.6</v>
      </c>
      <c r="D10" s="7" t="n">
        <v>3038</v>
      </c>
      <c r="E10" s="7" t="n">
        <v>3050.4</v>
      </c>
      <c r="F10" s="7" t="n">
        <v>3062.8</v>
      </c>
      <c r="G10" s="7" t="n">
        <v>3075.2</v>
      </c>
      <c r="H10" s="7" t="n">
        <v>3087.6</v>
      </c>
      <c r="I10" s="7" t="n">
        <v>3100</v>
      </c>
      <c r="J10" s="7" t="n">
        <v>3112.4</v>
      </c>
      <c r="K10" s="7" t="n">
        <v>3124.8</v>
      </c>
      <c r="L10" s="7" t="n">
        <v>3137.2</v>
      </c>
      <c r="M10" s="7" t="n">
        <v>3149.6</v>
      </c>
      <c r="N10" s="7" t="n">
        <v>3162</v>
      </c>
      <c r="O10" s="7">
        <f>SUM(C10:N10)</f>
        <v/>
      </c>
      <c r="P10" s="7">
        <f>SUM(L10:N10)</f>
        <v/>
      </c>
    </row>
    <row r="11">
      <c r="A11" s="5" t="inlineStr">
        <is>
          <t>Other Income (4300)</t>
        </is>
      </c>
      <c r="B11" s="5" t="inlineStr">
        <is>
          <t>Other Income</t>
        </is>
      </c>
      <c r="C11" s="7" t="n">
        <v>1708</v>
      </c>
      <c r="D11" s="7" t="n">
        <v>1715</v>
      </c>
      <c r="E11" s="7" t="n">
        <v>1722</v>
      </c>
      <c r="F11" s="7" t="n">
        <v>1729</v>
      </c>
      <c r="G11" s="7" t="n">
        <v>1736</v>
      </c>
      <c r="H11" s="7" t="n">
        <v>1743</v>
      </c>
      <c r="I11" s="7" t="n">
        <v>1750</v>
      </c>
      <c r="J11" s="7" t="n">
        <v>1757</v>
      </c>
      <c r="K11" s="7" t="n">
        <v>1764</v>
      </c>
      <c r="L11" s="7" t="n">
        <v>1771</v>
      </c>
      <c r="M11" s="7" t="n">
        <v>1778</v>
      </c>
      <c r="N11" s="7" t="n">
        <v>1785</v>
      </c>
      <c r="O11" s="7">
        <f>SUM(C11:N11)</f>
        <v/>
      </c>
      <c r="P11" s="7">
        <f>SUM(L11:N11)</f>
        <v/>
      </c>
    </row>
    <row r="12">
      <c r="A12" s="5" t="inlineStr">
        <is>
          <t>Payroll (5010)</t>
        </is>
      </c>
      <c r="B12" s="5" t="inlineStr">
        <is>
          <t>Payroll</t>
        </is>
      </c>
      <c r="C12" s="7" t="n">
        <v>7027.2</v>
      </c>
      <c r="D12" s="7" t="n">
        <v>7056</v>
      </c>
      <c r="E12" s="7" t="n">
        <v>7084.8</v>
      </c>
      <c r="F12" s="7" t="n">
        <v>7113.6</v>
      </c>
      <c r="G12" s="7" t="n">
        <v>7142.4</v>
      </c>
      <c r="H12" s="7" t="n">
        <v>7171.2</v>
      </c>
      <c r="I12" s="7" t="n">
        <v>7200</v>
      </c>
      <c r="J12" s="7" t="n">
        <v>7228.8</v>
      </c>
      <c r="K12" s="7" t="n">
        <v>7257.6</v>
      </c>
      <c r="L12" s="7" t="n">
        <v>7286.4</v>
      </c>
      <c r="M12" s="7" t="n">
        <v>7315.2</v>
      </c>
      <c r="N12" s="7" t="n">
        <v>7344</v>
      </c>
      <c r="O12" s="7">
        <f>SUM(C12:N12)</f>
        <v/>
      </c>
      <c r="P12" s="7">
        <f>SUM(L12:N12)</f>
        <v/>
      </c>
    </row>
    <row r="13">
      <c r="A13" s="5" t="inlineStr">
        <is>
          <t>Repairs &amp; Maintenance (5100)</t>
        </is>
      </c>
      <c r="B13" s="5" t="inlineStr">
        <is>
          <t>Repairs and Maintenance</t>
        </is>
      </c>
      <c r="C13" s="7" t="n">
        <v>4001.6</v>
      </c>
      <c r="D13" s="7" t="n">
        <v>4018</v>
      </c>
      <c r="E13" s="7" t="n">
        <v>4034.4</v>
      </c>
      <c r="F13" s="7" t="n">
        <v>4050.8</v>
      </c>
      <c r="G13" s="7" t="n">
        <v>4067.2</v>
      </c>
      <c r="H13" s="7" t="n">
        <v>4083.6</v>
      </c>
      <c r="I13" s="7" t="n">
        <v>4100</v>
      </c>
      <c r="J13" s="7" t="n">
        <v>4116.4</v>
      </c>
      <c r="K13" s="7" t="n">
        <v>4132.8</v>
      </c>
      <c r="L13" s="7" t="n">
        <v>4149.2</v>
      </c>
      <c r="M13" s="7" t="n">
        <v>4165.6</v>
      </c>
      <c r="N13" s="7" t="n">
        <v>4182</v>
      </c>
      <c r="O13" s="7">
        <f>SUM(C13:N13)</f>
        <v/>
      </c>
      <c r="P13" s="7">
        <f>SUM(L13:N13)</f>
        <v/>
      </c>
    </row>
    <row r="14">
      <c r="A14" s="5" t="inlineStr">
        <is>
          <t>Contract Services (5200)</t>
        </is>
      </c>
      <c r="B14" s="5" t="inlineStr">
        <is>
          <t>Repairs and Maintenance</t>
        </is>
      </c>
      <c r="C14" s="7" t="n">
        <v>2244.8</v>
      </c>
      <c r="D14" s="7" t="n">
        <v>2254</v>
      </c>
      <c r="E14" s="7" t="n">
        <v>2263.2</v>
      </c>
      <c r="F14" s="7" t="n">
        <v>2272.4</v>
      </c>
      <c r="G14" s="7" t="n">
        <v>2281.6</v>
      </c>
      <c r="H14" s="7" t="n">
        <v>2290.8</v>
      </c>
      <c r="I14" s="7" t="n">
        <v>2300</v>
      </c>
      <c r="J14" s="7" t="n">
        <v>2309.2</v>
      </c>
      <c r="K14" s="7" t="n">
        <v>2318.4</v>
      </c>
      <c r="L14" s="7" t="n">
        <v>2327.6</v>
      </c>
      <c r="M14" s="7" t="n">
        <v>2336.8</v>
      </c>
      <c r="N14" s="7" t="n">
        <v>2346</v>
      </c>
      <c r="O14" s="7">
        <f>SUM(C14:N14)</f>
        <v/>
      </c>
      <c r="P14" s="7">
        <f>SUM(L14:N14)</f>
        <v/>
      </c>
    </row>
    <row r="15">
      <c r="A15" s="5" t="inlineStr">
        <is>
          <t>Marketing (5300)</t>
        </is>
      </c>
      <c r="B15" s="5" t="inlineStr">
        <is>
          <t>Leasing and Marketing</t>
        </is>
      </c>
      <c r="C15" s="7" t="n">
        <v>878.4</v>
      </c>
      <c r="D15" s="7" t="n">
        <v>882</v>
      </c>
      <c r="E15" s="7" t="n">
        <v>885.6</v>
      </c>
      <c r="F15" s="7" t="n">
        <v>889.2</v>
      </c>
      <c r="G15" s="7" t="n">
        <v>892.8</v>
      </c>
      <c r="H15" s="7" t="n">
        <v>896.4</v>
      </c>
      <c r="I15" s="7" t="n">
        <v>900</v>
      </c>
      <c r="J15" s="7" t="n">
        <v>903.6</v>
      </c>
      <c r="K15" s="7" t="n">
        <v>907.2</v>
      </c>
      <c r="L15" s="7" t="n">
        <v>910.8</v>
      </c>
      <c r="M15" s="7" t="n">
        <v>914.4</v>
      </c>
      <c r="N15" s="7" t="n">
        <v>918</v>
      </c>
      <c r="O15" s="7">
        <f>SUM(C15:N15)</f>
        <v/>
      </c>
      <c r="P15" s="7">
        <f>SUM(L15:N15)</f>
        <v/>
      </c>
    </row>
    <row r="16">
      <c r="A16" s="5" t="inlineStr">
        <is>
          <t>Administrative (5400)</t>
        </is>
      </c>
      <c r="B16" s="5" t="inlineStr">
        <is>
          <t>General and Administrative</t>
        </is>
      </c>
      <c r="C16" s="7" t="n">
        <v>1366.4</v>
      </c>
      <c r="D16" s="7" t="n">
        <v>1372</v>
      </c>
      <c r="E16" s="7" t="n">
        <v>1377.6</v>
      </c>
      <c r="F16" s="7" t="n">
        <v>1383.2</v>
      </c>
      <c r="G16" s="7" t="n">
        <v>1388.8</v>
      </c>
      <c r="H16" s="7" t="n">
        <v>1394.4</v>
      </c>
      <c r="I16" s="7" t="n">
        <v>1400</v>
      </c>
      <c r="J16" s="7" t="n">
        <v>1405.6</v>
      </c>
      <c r="K16" s="7" t="n">
        <v>1411.2</v>
      </c>
      <c r="L16" s="7" t="n">
        <v>1416.8</v>
      </c>
      <c r="M16" s="7" t="n">
        <v>1422.4</v>
      </c>
      <c r="N16" s="7" t="n">
        <v>1428</v>
      </c>
      <c r="O16" s="7">
        <f>SUM(C16:N16)</f>
        <v/>
      </c>
      <c r="P16" s="7">
        <f>SUM(L16:N16)</f>
        <v/>
      </c>
    </row>
    <row r="17">
      <c r="A17" s="5" t="inlineStr">
        <is>
          <t>Utilities (5500)</t>
        </is>
      </c>
      <c r="B17" s="5" t="inlineStr">
        <is>
          <t>Utilities</t>
        </is>
      </c>
      <c r="C17" s="7" t="n">
        <v>3513.6</v>
      </c>
      <c r="D17" s="7" t="n">
        <v>3528</v>
      </c>
      <c r="E17" s="7" t="n">
        <v>3542.4</v>
      </c>
      <c r="F17" s="7" t="n">
        <v>3556.8</v>
      </c>
      <c r="G17" s="7" t="n">
        <v>3571.2</v>
      </c>
      <c r="H17" s="7" t="n">
        <v>3585.6</v>
      </c>
      <c r="I17" s="7" t="n">
        <v>3600</v>
      </c>
      <c r="J17" s="7" t="n">
        <v>3614.4</v>
      </c>
      <c r="K17" s="7" t="n">
        <v>3628.8</v>
      </c>
      <c r="L17" s="7" t="n">
        <v>3643.2</v>
      </c>
      <c r="M17" s="7" t="n">
        <v>3657.6</v>
      </c>
      <c r="N17" s="7" t="n">
        <v>3672</v>
      </c>
      <c r="O17" s="7">
        <f>SUM(C17:N17)</f>
        <v/>
      </c>
      <c r="P17" s="7">
        <f>SUM(L17:N17)</f>
        <v/>
      </c>
    </row>
    <row r="18">
      <c r="A18" s="5" t="inlineStr">
        <is>
          <t>Management Fee (5600)</t>
        </is>
      </c>
      <c r="B18" s="5" t="inlineStr">
        <is>
          <t>Management Fee</t>
        </is>
      </c>
      <c r="C18" s="7" t="n">
        <v>1737.28</v>
      </c>
      <c r="D18" s="7" t="n">
        <v>1744.4</v>
      </c>
      <c r="E18" s="7" t="n">
        <v>1751.52</v>
      </c>
      <c r="F18" s="7" t="n">
        <v>1758.64</v>
      </c>
      <c r="G18" s="7" t="n">
        <v>1765.76</v>
      </c>
      <c r="H18" s="7" t="n">
        <v>1772.88</v>
      </c>
      <c r="I18" s="7" t="n">
        <v>1780</v>
      </c>
      <c r="J18" s="7" t="n">
        <v>1787.12</v>
      </c>
      <c r="K18" s="7" t="n">
        <v>1794.24</v>
      </c>
      <c r="L18" s="7" t="n">
        <v>1801.36</v>
      </c>
      <c r="M18" s="7" t="n">
        <v>1808.48</v>
      </c>
      <c r="N18" s="7" t="n">
        <v>1815.6</v>
      </c>
      <c r="O18" s="7">
        <f>SUM(C18:N18)</f>
        <v/>
      </c>
      <c r="P18" s="7">
        <f>SUM(L18:N18)</f>
        <v/>
      </c>
    </row>
    <row r="19">
      <c r="A19" s="5" t="inlineStr">
        <is>
          <t>Insurance (5700)</t>
        </is>
      </c>
      <c r="B19" s="5" t="inlineStr">
        <is>
          <t>Insurance</t>
        </is>
      </c>
      <c r="C19" s="7" t="n">
        <v>2537.6</v>
      </c>
      <c r="D19" s="7" t="n">
        <v>2548</v>
      </c>
      <c r="E19" s="7" t="n">
        <v>2558.4</v>
      </c>
      <c r="F19" s="7" t="n">
        <v>2568.8</v>
      </c>
      <c r="G19" s="7" t="n">
        <v>2579.2</v>
      </c>
      <c r="H19" s="7" t="n">
        <v>2589.6</v>
      </c>
      <c r="I19" s="7" t="n">
        <v>2600</v>
      </c>
      <c r="J19" s="7" t="n">
        <v>2610.4</v>
      </c>
      <c r="K19" s="7" t="n">
        <v>2620.8</v>
      </c>
      <c r="L19" s="7" t="n">
        <v>2631.2</v>
      </c>
      <c r="M19" s="7" t="n">
        <v>2641.6</v>
      </c>
      <c r="N19" s="7" t="n">
        <v>2652</v>
      </c>
      <c r="O19" s="7">
        <f>SUM(C19:N19)</f>
        <v/>
      </c>
      <c r="P19" s="7">
        <f>SUM(L19:N19)</f>
        <v/>
      </c>
    </row>
    <row r="20">
      <c r="A20" s="5" t="inlineStr">
        <is>
          <t>Real Estate Taxes (5800)</t>
        </is>
      </c>
      <c r="B20" s="5" t="inlineStr">
        <is>
          <t>Property Taxes</t>
        </is>
      </c>
      <c r="C20" s="7" t="n">
        <v>8686.4</v>
      </c>
      <c r="D20" s="7" t="n">
        <v>8722</v>
      </c>
      <c r="E20" s="7" t="n">
        <v>8757.6</v>
      </c>
      <c r="F20" s="7" t="n">
        <v>8793.200000000001</v>
      </c>
      <c r="G20" s="7" t="n">
        <v>8828.799999999999</v>
      </c>
      <c r="H20" s="7" t="n">
        <v>8864.4</v>
      </c>
      <c r="I20" s="7" t="n">
        <v>8900</v>
      </c>
      <c r="J20" s="7" t="n">
        <v>8935.6</v>
      </c>
      <c r="K20" s="7" t="n">
        <v>8971.200000000001</v>
      </c>
      <c r="L20" s="7" t="n">
        <v>9006.799999999999</v>
      </c>
      <c r="M20" s="7" t="n">
        <v>9042.4</v>
      </c>
      <c r="N20" s="7" t="n">
        <v>9078</v>
      </c>
      <c r="O20" s="7">
        <f>SUM(C20:N20)</f>
        <v/>
      </c>
      <c r="P20" s="7">
        <f>SUM(L20:N20)</f>
        <v/>
      </c>
    </row>
    <row r="22">
      <c r="A22" s="13" t="inlineStr">
        <is>
          <t>Monthly revenue (computed)</t>
        </is>
      </c>
      <c r="B22" s="2" t="inlineStr">
        <is>
          <t>derived</t>
        </is>
      </c>
      <c r="C22" s="15">
        <f>IF(COUNTIF($B$6:$B$20,"Gross Scheduled Rent")&gt;0,SUMIF($B$6:$B$20,"Gross Scheduled Rent",C$6:C$20),SUMIF($B$6:$B$20,"Gross Potential Rent",C$6:C$20)+SUMIF($B$6:$B$20,"Gain / (Loss) to Lease",C$6:C$20))+SUMIF($B$6:$B$20,"Vacancy",C$6:C$20)+SUMIF($B$6:$B$20,"Concessions",C$6:C$20)+SUMIF($B$6:$B$20,"Non-Revenue Units",C$6:C$20)+SUMIF($B$6:$B$20,"Delinquency",C$6:C$20)+SUMIF($B$6:$B$20,"Utility Reimbursements",C$6:C$20)+SUMIF($B$6:$B$20,"Other Income",C$6:C$20)+SUMIF($B$6:$B$20,"Revenue Adjustments",C$6:C$20)</f>
        <v/>
      </c>
      <c r="D22" s="15">
        <f>IF(COUNTIF($B$6:$B$20,"Gross Scheduled Rent")&gt;0,SUMIF($B$6:$B$20,"Gross Scheduled Rent",D$6:D$20),SUMIF($B$6:$B$20,"Gross Potential Rent",D$6:D$20)+SUMIF($B$6:$B$20,"Gain / (Loss) to Lease",D$6:D$20))+SUMIF($B$6:$B$20,"Vacancy",D$6:D$20)+SUMIF($B$6:$B$20,"Concessions",D$6:D$20)+SUMIF($B$6:$B$20,"Non-Revenue Units",D$6:D$20)+SUMIF($B$6:$B$20,"Delinquency",D$6:D$20)+SUMIF($B$6:$B$20,"Utility Reimbursements",D$6:D$20)+SUMIF($B$6:$B$20,"Other Income",D$6:D$20)+SUMIF($B$6:$B$20,"Revenue Adjustments",D$6:D$20)</f>
        <v/>
      </c>
      <c r="E22" s="15">
        <f>IF(COUNTIF($B$6:$B$20,"Gross Scheduled Rent")&gt;0,SUMIF($B$6:$B$20,"Gross Scheduled Rent",E$6:E$20),SUMIF($B$6:$B$20,"Gross Potential Rent",E$6:E$20)+SUMIF($B$6:$B$20,"Gain / (Loss) to Lease",E$6:E$20))+SUMIF($B$6:$B$20,"Vacancy",E$6:E$20)+SUMIF($B$6:$B$20,"Concessions",E$6:E$20)+SUMIF($B$6:$B$20,"Non-Revenue Units",E$6:E$20)+SUMIF($B$6:$B$20,"Delinquency",E$6:E$20)+SUMIF($B$6:$B$20,"Utility Reimbursements",E$6:E$20)+SUMIF($B$6:$B$20,"Other Income",E$6:E$20)+SUMIF($B$6:$B$20,"Revenue Adjustments",E$6:E$20)</f>
        <v/>
      </c>
      <c r="F22" s="15">
        <f>IF(COUNTIF($B$6:$B$20,"Gross Scheduled Rent")&gt;0,SUMIF($B$6:$B$20,"Gross Scheduled Rent",F$6:F$20),SUMIF($B$6:$B$20,"Gross Potential Rent",F$6:F$20)+SUMIF($B$6:$B$20,"Gain / (Loss) to Lease",F$6:F$20))+SUMIF($B$6:$B$20,"Vacancy",F$6:F$20)+SUMIF($B$6:$B$20,"Concessions",F$6:F$20)+SUMIF($B$6:$B$20,"Non-Revenue Units",F$6:F$20)+SUMIF($B$6:$B$20,"Delinquency",F$6:F$20)+SUMIF($B$6:$B$20,"Utility Reimbursements",F$6:F$20)+SUMIF($B$6:$B$20,"Other Income",F$6:F$20)+SUMIF($B$6:$B$20,"Revenue Adjustments",F$6:F$20)</f>
        <v/>
      </c>
      <c r="G22" s="15">
        <f>IF(COUNTIF($B$6:$B$20,"Gross Scheduled Rent")&gt;0,SUMIF($B$6:$B$20,"Gross Scheduled Rent",G$6:G$20),SUMIF($B$6:$B$20,"Gross Potential Rent",G$6:G$20)+SUMIF($B$6:$B$20,"Gain / (Loss) to Lease",G$6:G$20))+SUMIF($B$6:$B$20,"Vacancy",G$6:G$20)+SUMIF($B$6:$B$20,"Concessions",G$6:G$20)+SUMIF($B$6:$B$20,"Non-Revenue Units",G$6:G$20)+SUMIF($B$6:$B$20,"Delinquency",G$6:G$20)+SUMIF($B$6:$B$20,"Utility Reimbursements",G$6:G$20)+SUMIF($B$6:$B$20,"Other Income",G$6:G$20)+SUMIF($B$6:$B$20,"Revenue Adjustments",G$6:G$20)</f>
        <v/>
      </c>
      <c r="H22" s="15">
        <f>IF(COUNTIF($B$6:$B$20,"Gross Scheduled Rent")&gt;0,SUMIF($B$6:$B$20,"Gross Scheduled Rent",H$6:H$20),SUMIF($B$6:$B$20,"Gross Potential Rent",H$6:H$20)+SUMIF($B$6:$B$20,"Gain / (Loss) to Lease",H$6:H$20))+SUMIF($B$6:$B$20,"Vacancy",H$6:H$20)+SUMIF($B$6:$B$20,"Concessions",H$6:H$20)+SUMIF($B$6:$B$20,"Non-Revenue Units",H$6:H$20)+SUMIF($B$6:$B$20,"Delinquency",H$6:H$20)+SUMIF($B$6:$B$20,"Utility Reimbursements",H$6:H$20)+SUMIF($B$6:$B$20,"Other Income",H$6:H$20)+SUMIF($B$6:$B$20,"Revenue Adjustments",H$6:H$20)</f>
        <v/>
      </c>
      <c r="I22" s="15">
        <f>IF(COUNTIF($B$6:$B$20,"Gross Scheduled Rent")&gt;0,SUMIF($B$6:$B$20,"Gross Scheduled Rent",I$6:I$20),SUMIF($B$6:$B$20,"Gross Potential Rent",I$6:I$20)+SUMIF($B$6:$B$20,"Gain / (Loss) to Lease",I$6:I$20))+SUMIF($B$6:$B$20,"Vacancy",I$6:I$20)+SUMIF($B$6:$B$20,"Concessions",I$6:I$20)+SUMIF($B$6:$B$20,"Non-Revenue Units",I$6:I$20)+SUMIF($B$6:$B$20,"Delinquency",I$6:I$20)+SUMIF($B$6:$B$20,"Utility Reimbursements",I$6:I$20)+SUMIF($B$6:$B$20,"Other Income",I$6:I$20)+SUMIF($B$6:$B$20,"Revenue Adjustments",I$6:I$20)</f>
        <v/>
      </c>
      <c r="J22" s="15">
        <f>IF(COUNTIF($B$6:$B$20,"Gross Scheduled Rent")&gt;0,SUMIF($B$6:$B$20,"Gross Scheduled Rent",J$6:J$20),SUMIF($B$6:$B$20,"Gross Potential Rent",J$6:J$20)+SUMIF($B$6:$B$20,"Gain / (Loss) to Lease",J$6:J$20))+SUMIF($B$6:$B$20,"Vacancy",J$6:J$20)+SUMIF($B$6:$B$20,"Concessions",J$6:J$20)+SUMIF($B$6:$B$20,"Non-Revenue Units",J$6:J$20)+SUMIF($B$6:$B$20,"Delinquency",J$6:J$20)+SUMIF($B$6:$B$20,"Utility Reimbursements",J$6:J$20)+SUMIF($B$6:$B$20,"Other Income",J$6:J$20)+SUMIF($B$6:$B$20,"Revenue Adjustments",J$6:J$20)</f>
        <v/>
      </c>
      <c r="K22" s="15">
        <f>IF(COUNTIF($B$6:$B$20,"Gross Scheduled Rent")&gt;0,SUMIF($B$6:$B$20,"Gross Scheduled Rent",K$6:K$20),SUMIF($B$6:$B$20,"Gross Potential Rent",K$6:K$20)+SUMIF($B$6:$B$20,"Gain / (Loss) to Lease",K$6:K$20))+SUMIF($B$6:$B$20,"Vacancy",K$6:K$20)+SUMIF($B$6:$B$20,"Concessions",K$6:K$20)+SUMIF($B$6:$B$20,"Non-Revenue Units",K$6:K$20)+SUMIF($B$6:$B$20,"Delinquency",K$6:K$20)+SUMIF($B$6:$B$20,"Utility Reimbursements",K$6:K$20)+SUMIF($B$6:$B$20,"Other Income",K$6:K$20)+SUMIF($B$6:$B$20,"Revenue Adjustments",K$6:K$20)</f>
        <v/>
      </c>
      <c r="L22" s="15">
        <f>IF(COUNTIF($B$6:$B$20,"Gross Scheduled Rent")&gt;0,SUMIF($B$6:$B$20,"Gross Scheduled Rent",L$6:L$20),SUMIF($B$6:$B$20,"Gross Potential Rent",L$6:L$20)+SUMIF($B$6:$B$20,"Gain / (Loss) to Lease",L$6:L$20))+SUMIF($B$6:$B$20,"Vacancy",L$6:L$20)+SUMIF($B$6:$B$20,"Concessions",L$6:L$20)+SUMIF($B$6:$B$20,"Non-Revenue Units",L$6:L$20)+SUMIF($B$6:$B$20,"Delinquency",L$6:L$20)+SUMIF($B$6:$B$20,"Utility Reimbursements",L$6:L$20)+SUMIF($B$6:$B$20,"Other Income",L$6:L$20)+SUMIF($B$6:$B$20,"Revenue Adjustments",L$6:L$20)</f>
        <v/>
      </c>
      <c r="M22" s="15">
        <f>IF(COUNTIF($B$6:$B$20,"Gross Scheduled Rent")&gt;0,SUMIF($B$6:$B$20,"Gross Scheduled Rent",M$6:M$20),SUMIF($B$6:$B$20,"Gross Potential Rent",M$6:M$20)+SUMIF($B$6:$B$20,"Gain / (Loss) to Lease",M$6:M$20))+SUMIF($B$6:$B$20,"Vacancy",M$6:M$20)+SUMIF($B$6:$B$20,"Concessions",M$6:M$20)+SUMIF($B$6:$B$20,"Non-Revenue Units",M$6:M$20)+SUMIF($B$6:$B$20,"Delinquency",M$6:M$20)+SUMIF($B$6:$B$20,"Utility Reimbursements",M$6:M$20)+SUMIF($B$6:$B$20,"Other Income",M$6:M$20)+SUMIF($B$6:$B$20,"Revenue Adjustments",M$6:M$20)</f>
        <v/>
      </c>
      <c r="N22" s="15">
        <f>IF(COUNTIF($B$6:$B$20,"Gross Scheduled Rent")&gt;0,SUMIF($B$6:$B$20,"Gross Scheduled Rent",N$6:N$20),SUMIF($B$6:$B$20,"Gross Potential Rent",N$6:N$20)+SUMIF($B$6:$B$20,"Gain / (Loss) to Lease",N$6:N$20))+SUMIF($B$6:$B$20,"Vacancy",N$6:N$20)+SUMIF($B$6:$B$20,"Concessions",N$6:N$20)+SUMIF($B$6:$B$20,"Non-Revenue Units",N$6:N$20)+SUMIF($B$6:$B$20,"Delinquency",N$6:N$20)+SUMIF($B$6:$B$20,"Utility Reimbursements",N$6:N$20)+SUMIF($B$6:$B$20,"Other Income",N$6:N$20)+SUMIF($B$6:$B$20,"Revenue Adjustments",N$6:N$20)</f>
        <v/>
      </c>
      <c r="O22" s="15">
        <f>SUM(C22:N22)</f>
        <v/>
      </c>
      <c r="P22" s="15">
        <f>SUM(L22:N22)</f>
        <v/>
      </c>
    </row>
    <row r="23">
      <c r="A23" s="2" t="inlineStr">
        <is>
          <t>Revenue by month, built from the same category SUMIFs as the rollup. Gross scheduled rent falls back to gross potential rent plus gain/(loss) to lease where the statement did not print it.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1"/>
  <sheetViews>
    <sheetView workbookViewId="0">
      <pane ySplit="5" topLeftCell="A6" activePane="bottomLeft" state="frozen"/>
      <selection pane="bottomLeft" activeCell="A1" sqref="A1"/>
    </sheetView>
  </sheetViews>
  <sheetFormatPr baseColWidth="8" defaultRowHeight="15"/>
  <cols>
    <col width="34" customWidth="1" min="1" max="1"/>
    <col width="16" customWidth="1" min="2" max="2"/>
    <col width="18" customWidth="1" min="3" max="3"/>
    <col width="16" customWidth="1" min="4" max="4"/>
    <col width="14" customWidth="1" min="5" max="5"/>
  </cols>
  <sheetData>
    <row r="1">
      <c r="A1" s="1" t="inlineStr">
        <is>
          <t>P&amp;L summary</t>
        </is>
      </c>
    </row>
    <row r="2">
      <c r="A2" s="2" t="inlineStr">
        <is>
          <t>Wildflower Crossing — as of 2025-11-12</t>
        </is>
      </c>
    </row>
    <row r="3">
      <c r="A3" s="2" t="inlineStr">
        <is>
          <t>Every category row is a SUMIF over the T-12 Data tab, so the arithmetic is auditable in the workbook rather than pasted in.</t>
        </is>
      </c>
    </row>
    <row r="4">
      <c r="A4" s="3" t="n"/>
      <c r="B4" s="3" t="n"/>
      <c r="C4" s="3" t="n"/>
      <c r="D4" s="3" t="n"/>
      <c r="E4" s="3" t="n"/>
      <c r="F4" s="3" t="n"/>
      <c r="G4" s="3" t="n"/>
      <c r="H4" s="3" t="n"/>
    </row>
    <row r="5">
      <c r="A5" s="14" t="inlineStr">
        <is>
          <t>Line item</t>
        </is>
      </c>
      <c r="B5" s="14" t="inlineStr">
        <is>
          <t>T-12</t>
        </is>
      </c>
      <c r="C5" s="14" t="inlineStr">
        <is>
          <t>T-3 annualized</t>
        </is>
      </c>
      <c r="D5" s="14" t="inlineStr">
        <is>
          <t>Per unit (T-12)</t>
        </is>
      </c>
      <c r="E5" s="14" t="inlineStr">
        <is>
          <t>% of revenue</t>
        </is>
      </c>
    </row>
    <row r="6">
      <c r="A6" s="16" t="inlineStr">
        <is>
          <t>Gross Potential Rent</t>
        </is>
      </c>
      <c r="B6" s="17">
        <f>IF(COUNTIF('T-12 Raw data'!$B$6:$B$20,$A6)&gt;0,SUMIF('T-12 Raw data'!$B$6:$B$20,$A6,'T-12 Raw data'!$O$6:$O$20),"")</f>
        <v/>
      </c>
      <c r="C6" s="17">
        <f>IF(COUNTIF('T-12 Raw data'!$B$6:$B$20,$A6)&gt;0,SUMIF('T-12 Raw data'!$B$6:$B$20,$A6,'T-12 Raw data'!$P$6:$P$20)*4,"")</f>
        <v/>
      </c>
      <c r="D6" s="17">
        <f>IFERROR(B6/24,"")</f>
        <v/>
      </c>
      <c r="E6" s="18">
        <f>IFERROR(B6/B16,"")</f>
        <v/>
      </c>
    </row>
    <row r="7">
      <c r="A7" s="16" t="inlineStr">
        <is>
          <t>Gain / (Loss) to Lease</t>
        </is>
      </c>
      <c r="B7" s="17">
        <f>IF(COUNTIF('T-12 Raw data'!$B$6:$B$20,$A7)&gt;0,SUMIF('T-12 Raw data'!$B$6:$B$20,$A7,'T-12 Raw data'!$O$6:$O$20),"")</f>
        <v/>
      </c>
      <c r="C7" s="17">
        <f>IF(COUNTIF('T-12 Raw data'!$B$6:$B$20,$A7)&gt;0,SUMIF('T-12 Raw data'!$B$6:$B$20,$A7,'T-12 Raw data'!$P$6:$P$20)*4,"")</f>
        <v/>
      </c>
      <c r="D7" s="17">
        <f>IFERROR(B7/24,"")</f>
        <v/>
      </c>
      <c r="E7" s="18">
        <f>IFERROR(B7/B16,"")</f>
        <v/>
      </c>
    </row>
    <row r="8">
      <c r="A8" s="19" t="inlineStr">
        <is>
          <t>Gross Scheduled Rent</t>
        </is>
      </c>
      <c r="B8" s="20">
        <f>IF(COUNTIF('T-12 Raw data'!$B$6:$B$20,$A8)&gt;0,SUMIF('T-12 Raw data'!$B$6:$B$20,$A8,'T-12 Raw data'!$O$6:$O$20),IF(COUNTIF('T-12 Raw data'!$B$6:$B$20,$A6)+COUNTIF('T-12 Raw data'!$B$6:$B$20,$A7)&gt;0,IF(B6="",0,B6)+IF(B7="",0,B7),""))</f>
        <v/>
      </c>
      <c r="C8" s="20">
        <f>IF(COUNTIF('T-12 Raw data'!$B$6:$B$20,$A8)&gt;0,SUMIF('T-12 Raw data'!$B$6:$B$20,$A8,'T-12 Raw data'!$P$6:$P$20)*4,IF(COUNTIF('T-12 Raw data'!$B$6:$B$20,$A6)+COUNTIF('T-12 Raw data'!$B$6:$B$20,$A7)&gt;0,IF(C6="",0,C6)+IF(C7="",0,C7),""))</f>
        <v/>
      </c>
      <c r="D8" s="20">
        <f>IFERROR(B8/24,"")</f>
        <v/>
      </c>
      <c r="E8" s="21">
        <f>IFERROR(B8/B16,"")</f>
        <v/>
      </c>
    </row>
    <row r="9">
      <c r="A9" s="16" t="inlineStr">
        <is>
          <t>Vacancy</t>
        </is>
      </c>
      <c r="B9" s="17">
        <f>IF(COUNTIF('T-12 Raw data'!$B$6:$B$20,$A9)&gt;0,SUMIF('T-12 Raw data'!$B$6:$B$20,$A9,'T-12 Raw data'!$O$6:$O$20),"")</f>
        <v/>
      </c>
      <c r="C9" s="17">
        <f>IF(COUNTIF('T-12 Raw data'!$B$6:$B$20,$A9)&gt;0,SUMIF('T-12 Raw data'!$B$6:$B$20,$A9,'T-12 Raw data'!$P$6:$P$20)*4,"")</f>
        <v/>
      </c>
      <c r="D9" s="17">
        <f>IFERROR(B9/24,"")</f>
        <v/>
      </c>
      <c r="E9" s="18">
        <f>IFERROR(B9/B16,"")</f>
        <v/>
      </c>
    </row>
    <row r="10">
      <c r="A10" s="16" t="inlineStr">
        <is>
          <t>Concessions</t>
        </is>
      </c>
      <c r="B10" s="17">
        <f>IF(COUNTIF('T-12 Raw data'!$B$6:$B$20,$A10)&gt;0,SUMIF('T-12 Raw data'!$B$6:$B$20,$A10,'T-12 Raw data'!$O$6:$O$20),"")</f>
        <v/>
      </c>
      <c r="C10" s="17">
        <f>IF(COUNTIF('T-12 Raw data'!$B$6:$B$20,$A10)&gt;0,SUMIF('T-12 Raw data'!$B$6:$B$20,$A10,'T-12 Raw data'!$P$6:$P$20)*4,"")</f>
        <v/>
      </c>
      <c r="D10" s="17">
        <f>IFERROR(B10/24,"")</f>
        <v/>
      </c>
      <c r="E10" s="18">
        <f>IFERROR(B10/B16,"")</f>
        <v/>
      </c>
    </row>
    <row r="11">
      <c r="A11" s="16" t="inlineStr">
        <is>
          <t>Non-Revenue Units</t>
        </is>
      </c>
      <c r="B11" s="17">
        <f>IF(COUNTIF('T-12 Raw data'!$B$6:$B$20,$A11)&gt;0,SUMIF('T-12 Raw data'!$B$6:$B$20,$A11,'T-12 Raw data'!$O$6:$O$20),"")</f>
        <v/>
      </c>
      <c r="C11" s="17">
        <f>IF(COUNTIF('T-12 Raw data'!$B$6:$B$20,$A11)&gt;0,SUMIF('T-12 Raw data'!$B$6:$B$20,$A11,'T-12 Raw data'!$P$6:$P$20)*4,"")</f>
        <v/>
      </c>
      <c r="D11" s="17">
        <f>IFERROR(B11/24,"")</f>
        <v/>
      </c>
      <c r="E11" s="18">
        <f>IFERROR(B11/B16,"")</f>
        <v/>
      </c>
    </row>
    <row r="12">
      <c r="A12" s="16" t="inlineStr">
        <is>
          <t>Delinquency</t>
        </is>
      </c>
      <c r="B12" s="17">
        <f>IF(COUNTIF('T-12 Raw data'!$B$6:$B$20,$A12)&gt;0,SUMIF('T-12 Raw data'!$B$6:$B$20,$A12,'T-12 Raw data'!$O$6:$O$20),"")</f>
        <v/>
      </c>
      <c r="C12" s="17">
        <f>IF(COUNTIF('T-12 Raw data'!$B$6:$B$20,$A12)&gt;0,SUMIF('T-12 Raw data'!$B$6:$B$20,$A12,'T-12 Raw data'!$P$6:$P$20)*4,"")</f>
        <v/>
      </c>
      <c r="D12" s="17">
        <f>IFERROR(B12/24,"")</f>
        <v/>
      </c>
      <c r="E12" s="18">
        <f>IFERROR(B12/B16,"")</f>
        <v/>
      </c>
    </row>
    <row r="13">
      <c r="A13" s="16" t="inlineStr">
        <is>
          <t>Utility Reimbursements</t>
        </is>
      </c>
      <c r="B13" s="17">
        <f>IF(COUNTIF('T-12 Raw data'!$B$6:$B$20,$A13)&gt;0,SUMIF('T-12 Raw data'!$B$6:$B$20,$A13,'T-12 Raw data'!$O$6:$O$20),"")</f>
        <v/>
      </c>
      <c r="C13" s="17">
        <f>IF(COUNTIF('T-12 Raw data'!$B$6:$B$20,$A13)&gt;0,SUMIF('T-12 Raw data'!$B$6:$B$20,$A13,'T-12 Raw data'!$P$6:$P$20)*4,"")</f>
        <v/>
      </c>
      <c r="D13" s="17">
        <f>IFERROR(B13/24,"")</f>
        <v/>
      </c>
      <c r="E13" s="18">
        <f>IFERROR(B13/B16,"")</f>
        <v/>
      </c>
    </row>
    <row r="14">
      <c r="A14" s="16" t="inlineStr">
        <is>
          <t>Other Income</t>
        </is>
      </c>
      <c r="B14" s="17">
        <f>IF(COUNTIF('T-12 Raw data'!$B$6:$B$20,$A14)&gt;0,SUMIF('T-12 Raw data'!$B$6:$B$20,$A14,'T-12 Raw data'!$O$6:$O$20),"")</f>
        <v/>
      </c>
      <c r="C14" s="17">
        <f>IF(COUNTIF('T-12 Raw data'!$B$6:$B$20,$A14)&gt;0,SUMIF('T-12 Raw data'!$B$6:$B$20,$A14,'T-12 Raw data'!$P$6:$P$20)*4,"")</f>
        <v/>
      </c>
      <c r="D14" s="17">
        <f>IFERROR(B14/24,"")</f>
        <v/>
      </c>
      <c r="E14" s="18">
        <f>IFERROR(B14/B16,"")</f>
        <v/>
      </c>
    </row>
    <row r="15">
      <c r="A15" s="16" t="inlineStr">
        <is>
          <t>Revenue Adjustments</t>
        </is>
      </c>
      <c r="B15" s="17">
        <f>IF(COUNTIF('T-12 Raw data'!$B$6:$B$20,$A15)&gt;0,SUMIF('T-12 Raw data'!$B$6:$B$20,$A15,'T-12 Raw data'!$O$6:$O$20),"")</f>
        <v/>
      </c>
      <c r="C15" s="17">
        <f>IF(COUNTIF('T-12 Raw data'!$B$6:$B$20,$A15)&gt;0,SUMIF('T-12 Raw data'!$B$6:$B$20,$A15,'T-12 Raw data'!$P$6:$P$20)*4,"")</f>
        <v/>
      </c>
      <c r="D15" s="17">
        <f>IFERROR(B15/24,"")</f>
        <v/>
      </c>
      <c r="E15" s="18">
        <f>IFERROR(B15/B16,"")</f>
        <v/>
      </c>
    </row>
    <row r="16">
      <c r="A16" s="19" t="inlineStr">
        <is>
          <t>Total Revenue</t>
        </is>
      </c>
      <c r="B16" s="20">
        <f>SUM(B8:B15)</f>
        <v/>
      </c>
      <c r="C16" s="20">
        <f>SUM(C8:C15)</f>
        <v/>
      </c>
      <c r="D16" s="20">
        <f>IFERROR(B16/24,"")</f>
        <v/>
      </c>
      <c r="E16" s="21">
        <f>IFERROR(B16/B16,"")</f>
        <v/>
      </c>
    </row>
    <row r="17">
      <c r="A17" s="16" t="inlineStr">
        <is>
          <t>General and Administrative</t>
        </is>
      </c>
      <c r="B17" s="17">
        <f>IF(COUNTIF('T-12 Raw data'!$B$6:$B$20,$A17)&gt;0,SUMIF('T-12 Raw data'!$B$6:$B$20,$A17,'T-12 Raw data'!$O$6:$O$20),"")</f>
        <v/>
      </c>
      <c r="C17" s="17">
        <f>IF(COUNTIF('T-12 Raw data'!$B$6:$B$20,$A17)&gt;0,SUMIF('T-12 Raw data'!$B$6:$B$20,$A17,'T-12 Raw data'!$P$6:$P$20)*4,"")</f>
        <v/>
      </c>
      <c r="D17" s="17">
        <f>IFERROR(B17/24,"")</f>
        <v/>
      </c>
      <c r="E17" s="18">
        <f>IFERROR(B17/B16,"")</f>
        <v/>
      </c>
    </row>
    <row r="18">
      <c r="A18" s="16" t="inlineStr">
        <is>
          <t>Leasing and Marketing</t>
        </is>
      </c>
      <c r="B18" s="17">
        <f>IF(COUNTIF('T-12 Raw data'!$B$6:$B$20,$A18)&gt;0,SUMIF('T-12 Raw data'!$B$6:$B$20,$A18,'T-12 Raw data'!$O$6:$O$20),"")</f>
        <v/>
      </c>
      <c r="C18" s="17">
        <f>IF(COUNTIF('T-12 Raw data'!$B$6:$B$20,$A18)&gt;0,SUMIF('T-12 Raw data'!$B$6:$B$20,$A18,'T-12 Raw data'!$P$6:$P$20)*4,"")</f>
        <v/>
      </c>
      <c r="D18" s="17">
        <f>IFERROR(B18/24,"")</f>
        <v/>
      </c>
      <c r="E18" s="18">
        <f>IFERROR(B18/B16,"")</f>
        <v/>
      </c>
    </row>
    <row r="19">
      <c r="A19" s="16" t="inlineStr">
        <is>
          <t>Payroll</t>
        </is>
      </c>
      <c r="B19" s="17">
        <f>IF(COUNTIF('T-12 Raw data'!$B$6:$B$20,$A19)&gt;0,SUMIF('T-12 Raw data'!$B$6:$B$20,$A19,'T-12 Raw data'!$O$6:$O$20),"")</f>
        <v/>
      </c>
      <c r="C19" s="17">
        <f>IF(COUNTIF('T-12 Raw data'!$B$6:$B$20,$A19)&gt;0,SUMIF('T-12 Raw data'!$B$6:$B$20,$A19,'T-12 Raw data'!$P$6:$P$20)*4,"")</f>
        <v/>
      </c>
      <c r="D19" s="17">
        <f>IFERROR(B19/24,"")</f>
        <v/>
      </c>
      <c r="E19" s="18">
        <f>IFERROR(B19/B16,"")</f>
        <v/>
      </c>
    </row>
    <row r="20">
      <c r="A20" s="16" t="inlineStr">
        <is>
          <t>Insurance</t>
        </is>
      </c>
      <c r="B20" s="17">
        <f>IF(COUNTIF('T-12 Raw data'!$B$6:$B$20,$A20)&gt;0,SUMIF('T-12 Raw data'!$B$6:$B$20,$A20,'T-12 Raw data'!$O$6:$O$20),"")</f>
        <v/>
      </c>
      <c r="C20" s="17">
        <f>IF(COUNTIF('T-12 Raw data'!$B$6:$B$20,$A20)&gt;0,SUMIF('T-12 Raw data'!$B$6:$B$20,$A20,'T-12 Raw data'!$P$6:$P$20)*4,"")</f>
        <v/>
      </c>
      <c r="D20" s="17">
        <f>IFERROR(B20/24,"")</f>
        <v/>
      </c>
      <c r="E20" s="18">
        <f>IFERROR(B20/B16,"")</f>
        <v/>
      </c>
    </row>
    <row r="21">
      <c r="A21" s="16" t="inlineStr">
        <is>
          <t>Property Taxes</t>
        </is>
      </c>
      <c r="B21" s="17">
        <f>IF(COUNTIF('T-12 Raw data'!$B$6:$B$20,$A21)&gt;0,SUMIF('T-12 Raw data'!$B$6:$B$20,$A21,'T-12 Raw data'!$O$6:$O$20),"")</f>
        <v/>
      </c>
      <c r="C21" s="17">
        <f>IF(COUNTIF('T-12 Raw data'!$B$6:$B$20,$A21)&gt;0,SUMIF('T-12 Raw data'!$B$6:$B$20,$A21,'T-12 Raw data'!$P$6:$P$20)*4,"")</f>
        <v/>
      </c>
      <c r="D21" s="17">
        <f>IFERROR(B21/24,"")</f>
        <v/>
      </c>
      <c r="E21" s="18">
        <f>IFERROR(B21/B16,"")</f>
        <v/>
      </c>
    </row>
    <row r="22">
      <c r="A22" s="16" t="inlineStr">
        <is>
          <t>Legal and Professional</t>
        </is>
      </c>
      <c r="B22" s="17">
        <f>IF(COUNTIF('T-12 Raw data'!$B$6:$B$20,$A22)&gt;0,SUMIF('T-12 Raw data'!$B$6:$B$20,$A22,'T-12 Raw data'!$O$6:$O$20),"")</f>
        <v/>
      </c>
      <c r="C22" s="17">
        <f>IF(COUNTIF('T-12 Raw data'!$B$6:$B$20,$A22)&gt;0,SUMIF('T-12 Raw data'!$B$6:$B$20,$A22,'T-12 Raw data'!$P$6:$P$20)*4,"")</f>
        <v/>
      </c>
      <c r="D22" s="17">
        <f>IFERROR(B22/24,"")</f>
        <v/>
      </c>
      <c r="E22" s="18">
        <f>IFERROR(B22/B16,"")</f>
        <v/>
      </c>
    </row>
    <row r="23">
      <c r="A23" s="16" t="inlineStr">
        <is>
          <t>Management Fee</t>
        </is>
      </c>
      <c r="B23" s="17">
        <f>IF(COUNTIF('T-12 Raw data'!$B$6:$B$20,$A23)&gt;0,SUMIF('T-12 Raw data'!$B$6:$B$20,$A23,'T-12 Raw data'!$O$6:$O$20),"")</f>
        <v/>
      </c>
      <c r="C23" s="17">
        <f>IF(COUNTIF('T-12 Raw data'!$B$6:$B$20,$A23)&gt;0,SUMIF('T-12 Raw data'!$B$6:$B$20,$A23,'T-12 Raw data'!$P$6:$P$20)*4,"")</f>
        <v/>
      </c>
      <c r="D23" s="17">
        <f>IFERROR(B23/24,"")</f>
        <v/>
      </c>
      <c r="E23" s="18">
        <f>IFERROR(B23/B16,"")</f>
        <v/>
      </c>
    </row>
    <row r="24">
      <c r="A24" s="16" t="inlineStr">
        <is>
          <t>Landscaping</t>
        </is>
      </c>
      <c r="B24" s="17">
        <f>IF(COUNTIF('T-12 Raw data'!$B$6:$B$20,$A24)&gt;0,SUMIF('T-12 Raw data'!$B$6:$B$20,$A24,'T-12 Raw data'!$O$6:$O$20),"")</f>
        <v/>
      </c>
      <c r="C24" s="17">
        <f>IF(COUNTIF('T-12 Raw data'!$B$6:$B$20,$A24)&gt;0,SUMIF('T-12 Raw data'!$B$6:$B$20,$A24,'T-12 Raw data'!$P$6:$P$20)*4,"")</f>
        <v/>
      </c>
      <c r="D24" s="17">
        <f>IFERROR(B24/24,"")</f>
        <v/>
      </c>
      <c r="E24" s="18">
        <f>IFERROR(B24/B16,"")</f>
        <v/>
      </c>
    </row>
    <row r="25">
      <c r="A25" s="16" t="inlineStr">
        <is>
          <t>Repairs and Maintenance</t>
        </is>
      </c>
      <c r="B25" s="17">
        <f>IF(COUNTIF('T-12 Raw data'!$B$6:$B$20,$A25)&gt;0,SUMIF('T-12 Raw data'!$B$6:$B$20,$A25,'T-12 Raw data'!$O$6:$O$20),"")</f>
        <v/>
      </c>
      <c r="C25" s="17">
        <f>IF(COUNTIF('T-12 Raw data'!$B$6:$B$20,$A25)&gt;0,SUMIF('T-12 Raw data'!$B$6:$B$20,$A25,'T-12 Raw data'!$P$6:$P$20)*4,"")</f>
        <v/>
      </c>
      <c r="D25" s="17">
        <f>IFERROR(B25/24,"")</f>
        <v/>
      </c>
      <c r="E25" s="18">
        <f>IFERROR(B25/B16,"")</f>
        <v/>
      </c>
    </row>
    <row r="26">
      <c r="A26" s="16" t="inlineStr">
        <is>
          <t>Unit Turns</t>
        </is>
      </c>
      <c r="B26" s="17">
        <f>IF(COUNTIF('T-12 Raw data'!$B$6:$B$20,$A26)&gt;0,SUMIF('T-12 Raw data'!$B$6:$B$20,$A26,'T-12 Raw data'!$O$6:$O$20),"")</f>
        <v/>
      </c>
      <c r="C26" s="17">
        <f>IF(COUNTIF('T-12 Raw data'!$B$6:$B$20,$A26)&gt;0,SUMIF('T-12 Raw data'!$B$6:$B$20,$A26,'T-12 Raw data'!$P$6:$P$20)*4,"")</f>
        <v/>
      </c>
      <c r="D26" s="17">
        <f>IFERROR(B26/24,"")</f>
        <v/>
      </c>
      <c r="E26" s="18">
        <f>IFERROR(B26/B16,"")</f>
        <v/>
      </c>
    </row>
    <row r="27">
      <c r="A27" s="16" t="inlineStr">
        <is>
          <t>Utilities</t>
        </is>
      </c>
      <c r="B27" s="17">
        <f>IF(COUNTIF('T-12 Raw data'!$B$6:$B$20,$A27)&gt;0,SUMIF('T-12 Raw data'!$B$6:$B$20,$A27,'T-12 Raw data'!$O$6:$O$20),"")</f>
        <v/>
      </c>
      <c r="C27" s="17">
        <f>IF(COUNTIF('T-12 Raw data'!$B$6:$B$20,$A27)&gt;0,SUMIF('T-12 Raw data'!$B$6:$B$20,$A27,'T-12 Raw data'!$P$6:$P$20)*4,"")</f>
        <v/>
      </c>
      <c r="D27" s="17">
        <f>IFERROR(B27/24,"")</f>
        <v/>
      </c>
      <c r="E27" s="18">
        <f>IFERROR(B27/B16,"")</f>
        <v/>
      </c>
    </row>
    <row r="28">
      <c r="A28" s="16" t="inlineStr">
        <is>
          <t>Expense Adjustments</t>
        </is>
      </c>
      <c r="B28" s="17">
        <f>IF(COUNTIF('T-12 Raw data'!$B$6:$B$20,$A28)&gt;0,SUMIF('T-12 Raw data'!$B$6:$B$20,$A28,'T-12 Raw data'!$O$6:$O$20),"")</f>
        <v/>
      </c>
      <c r="C28" s="17">
        <f>IF(COUNTIF('T-12 Raw data'!$B$6:$B$20,$A28)&gt;0,SUMIF('T-12 Raw data'!$B$6:$B$20,$A28,'T-12 Raw data'!$P$6:$P$20)*4,"")</f>
        <v/>
      </c>
      <c r="D28" s="17">
        <f>IFERROR(B28/24,"")</f>
        <v/>
      </c>
      <c r="E28" s="18">
        <f>IFERROR(B28/B16,"")</f>
        <v/>
      </c>
    </row>
    <row r="29">
      <c r="A29" s="19" t="inlineStr">
        <is>
          <t>Total Operating Expenses</t>
        </is>
      </c>
      <c r="B29" s="20">
        <f>SUM(B17:B28)</f>
        <v/>
      </c>
      <c r="C29" s="20">
        <f>SUM(C17:C28)</f>
        <v/>
      </c>
      <c r="D29" s="20">
        <f>IFERROR(B29/24,"")</f>
        <v/>
      </c>
      <c r="E29" s="21">
        <f>IFERROR(B29/B16,"")</f>
        <v/>
      </c>
    </row>
    <row r="30">
      <c r="A30" s="19" t="inlineStr">
        <is>
          <t>Net Operating Income</t>
        </is>
      </c>
      <c r="B30" s="20">
        <f>B16-B29</f>
        <v/>
      </c>
      <c r="C30" s="20">
        <f>C16-C29</f>
        <v/>
      </c>
      <c r="D30" s="20">
        <f>IFERROR(B30/24,"")</f>
        <v/>
      </c>
      <c r="E30" s="21">
        <f>IFERROR(B30/B16,"")</f>
        <v/>
      </c>
    </row>
    <row r="32">
      <c r="A32" s="2" t="inlineStr">
        <is>
          <t>Gross scheduled rent basis: gross potential rent + gain/(loss) to lease. Total revenue sums from gross scheduled rent down through revenue adjustments — not from gross potential rent, which would double-count the loss-to-lease line.</t>
        </is>
      </c>
    </row>
    <row r="34">
      <c r="A34" s="4" t="inlineStr">
        <is>
          <t>Other Income — top 5 plus rest</t>
        </is>
      </c>
      <c r="B34" s="4" t="n"/>
      <c r="C34" s="4" t="n"/>
    </row>
    <row r="35">
      <c r="A35" s="14" t="inlineStr">
        <is>
          <t>Line item</t>
        </is>
      </c>
      <c r="B35" s="14" t="inlineStr">
        <is>
          <t>T-12</t>
        </is>
      </c>
      <c r="C35" s="14" t="inlineStr">
        <is>
          <t>T-3 annualized</t>
        </is>
      </c>
    </row>
    <row r="36">
      <c r="A36" s="5" t="inlineStr">
        <is>
          <t>Other Income (4300)</t>
        </is>
      </c>
      <c r="B36" s="7" t="n">
        <v>20958</v>
      </c>
      <c r="C36" s="7" t="n">
        <v>21336</v>
      </c>
    </row>
    <row r="37">
      <c r="A37" s="5" t="inlineStr">
        <is>
          <t>All other other income (0 lines)</t>
        </is>
      </c>
      <c r="B37" s="7" t="n">
        <v>0</v>
      </c>
      <c r="C37" s="7" t="n">
        <v>0</v>
      </c>
    </row>
    <row r="38">
      <c r="A38" s="22" t="inlineStr">
        <is>
          <t>Total other income</t>
        </is>
      </c>
      <c r="B38" s="20">
        <f>'T-12 Analysis'!B14</f>
        <v/>
      </c>
      <c r="C38" s="20">
        <f>'T-12 Analysis'!C14</f>
        <v/>
      </c>
    </row>
    <row r="40">
      <c r="A40" s="4" t="inlineStr">
        <is>
          <t>Utility Reimbursements — top 4 plus rest</t>
        </is>
      </c>
      <c r="B40" s="4" t="n"/>
      <c r="C40" s="4" t="n"/>
    </row>
    <row r="41">
      <c r="A41" s="14" t="inlineStr">
        <is>
          <t>Line item</t>
        </is>
      </c>
      <c r="B41" s="14" t="inlineStr">
        <is>
          <t>T-12</t>
        </is>
      </c>
      <c r="C41" s="14" t="inlineStr">
        <is>
          <t>T-3 annualized</t>
        </is>
      </c>
    </row>
    <row r="42">
      <c r="A42" s="5" t="inlineStr">
        <is>
          <t>Utility Reimbursement (4200)</t>
        </is>
      </c>
      <c r="B42" s="7" t="n">
        <v>37125.6</v>
      </c>
      <c r="C42" s="7" t="n">
        <v>37795.2</v>
      </c>
    </row>
    <row r="43">
      <c r="A43" s="5" t="inlineStr">
        <is>
          <t>All other utility reimbursements (0 lines)</t>
        </is>
      </c>
      <c r="B43" s="7" t="n">
        <v>0</v>
      </c>
      <c r="C43" s="7" t="n">
        <v>0</v>
      </c>
    </row>
    <row r="44">
      <c r="A44" s="22" t="inlineStr">
        <is>
          <t>Total utility reimbursements</t>
        </is>
      </c>
      <c r="B44" s="20">
        <f>'T-12 Analysis'!B13</f>
        <v/>
      </c>
      <c r="C44" s="20">
        <f>'T-12 Analysis'!C13</f>
        <v/>
      </c>
    </row>
    <row r="46">
      <c r="A46" s="4" t="inlineStr">
        <is>
          <t>Utilities — top 4 plus rest</t>
        </is>
      </c>
      <c r="B46" s="4" t="n"/>
      <c r="C46" s="4" t="n"/>
    </row>
    <row r="47">
      <c r="A47" s="14" t="inlineStr">
        <is>
          <t>Line item</t>
        </is>
      </c>
      <c r="B47" s="14" t="inlineStr">
        <is>
          <t>T-12</t>
        </is>
      </c>
      <c r="C47" s="14" t="inlineStr">
        <is>
          <t>T-3 annualized</t>
        </is>
      </c>
    </row>
    <row r="48">
      <c r="A48" s="5" t="inlineStr">
        <is>
          <t>Utilities (5500)</t>
        </is>
      </c>
      <c r="B48" s="7" t="n">
        <v>43113.6</v>
      </c>
      <c r="C48" s="7" t="n">
        <v>43891.2</v>
      </c>
    </row>
    <row r="49">
      <c r="A49" s="5" t="inlineStr">
        <is>
          <t>All other utilities (0 lines)</t>
        </is>
      </c>
      <c r="B49" s="7" t="n">
        <v>0</v>
      </c>
      <c r="C49" s="7" t="n">
        <v>0</v>
      </c>
    </row>
    <row r="50">
      <c r="A50" s="22" t="inlineStr">
        <is>
          <t>Total utilities</t>
        </is>
      </c>
      <c r="B50" s="20">
        <f>'T-12 Analysis'!B27</f>
        <v/>
      </c>
      <c r="C50" s="20">
        <f>'T-12 Analysis'!C27</f>
        <v/>
      </c>
    </row>
    <row r="52">
      <c r="A52" s="4" t="inlineStr">
        <is>
          <t>Trailing T-3 annualized revenue</t>
        </is>
      </c>
      <c r="B52" s="4" t="n"/>
      <c r="C52" s="4" t="n"/>
    </row>
    <row r="53">
      <c r="A53" s="14" t="inlineStr">
        <is>
          <t>Month</t>
        </is>
      </c>
      <c r="B53" s="14" t="inlineStr">
        <is>
          <t>T-3 annualized revenue</t>
        </is>
      </c>
      <c r="C53" s="14" t="inlineStr"/>
    </row>
    <row r="54">
      <c r="A54" s="5" t="inlineStr">
        <is>
          <t>2026-01</t>
        </is>
      </c>
      <c r="B54" s="7" t="n">
        <v>711741.6000000001</v>
      </c>
      <c r="C54" s="12" t="n"/>
    </row>
    <row r="55">
      <c r="A55" s="5" t="inlineStr">
        <is>
          <t>2026-02</t>
        </is>
      </c>
      <c r="B55" s="7" t="n">
        <v>714600</v>
      </c>
      <c r="C55" s="12" t="n"/>
    </row>
    <row r="56">
      <c r="A56" s="5" t="inlineStr">
        <is>
          <t>2026-03</t>
        </is>
      </c>
      <c r="B56" s="7" t="n">
        <v>717458.3999999999</v>
      </c>
      <c r="C56" s="12" t="n"/>
    </row>
    <row r="57">
      <c r="A57" s="5" t="inlineStr">
        <is>
          <t>2026-04</t>
        </is>
      </c>
      <c r="B57" s="7" t="n">
        <v>720316.8</v>
      </c>
      <c r="C57" s="12" t="n"/>
    </row>
    <row r="58">
      <c r="A58" s="5" t="inlineStr">
        <is>
          <t>2026-05</t>
        </is>
      </c>
      <c r="B58" s="7" t="n">
        <v>723175.2</v>
      </c>
      <c r="C58" s="12" t="n"/>
    </row>
    <row r="59">
      <c r="A59" s="5" t="inlineStr">
        <is>
          <t>2026-06</t>
        </is>
      </c>
      <c r="B59" s="7" t="n">
        <v>726033.6000000001</v>
      </c>
      <c r="C59" s="12" t="n"/>
    </row>
    <row r="60">
      <c r="A60" s="2" t="inlineStr">
        <is>
          <t>Each figure is that month plus the two before it, times four — the trend the T-3 cap rate sits at the end of. Fewer than eight months of statement give fewer figures, never a padded zero.</t>
        </is>
      </c>
    </row>
    <row r="62">
      <c r="A62" s="4" t="inlineStr">
        <is>
          <t>Pricing and cap rate</t>
        </is>
      </c>
      <c r="B62" s="4" t="n"/>
      <c r="C62" s="4" t="n"/>
      <c r="D62" s="4" t="n"/>
      <c r="E62" s="4" t="n"/>
      <c r="F62" s="4" t="n"/>
    </row>
    <row r="63">
      <c r="A63" s="5" t="inlineStr">
        <is>
          <t>Price per unit</t>
        </is>
      </c>
      <c r="B63" s="7" t="n">
        <v>215000</v>
      </c>
      <c r="C63" s="6" t="inlineStr">
        <is>
          <t>Pricing is as stated in the uploaded documents or the notes box, not a market opinion.</t>
        </is>
      </c>
    </row>
    <row r="64">
      <c r="A64" s="5" t="inlineStr">
        <is>
          <t>Unit count</t>
        </is>
      </c>
      <c r="B64" s="7" t="n">
        <v>24</v>
      </c>
    </row>
    <row r="65">
      <c r="A65" s="5" t="inlineStr">
        <is>
          <t>Total purchase price</t>
        </is>
      </c>
      <c r="B65" s="7">
        <f>B63*B64</f>
        <v/>
      </c>
    </row>
    <row r="67">
      <c r="A67" s="5" t="inlineStr">
        <is>
          <t>T-12 revenue</t>
        </is>
      </c>
      <c r="B67" s="7">
        <f>'T-12 Analysis'!B16</f>
        <v/>
      </c>
    </row>
    <row r="68">
      <c r="A68" s="5" t="inlineStr">
        <is>
          <t>T-12 operating expenses</t>
        </is>
      </c>
      <c r="B68" s="7">
        <f>'T-12 Analysis'!B29</f>
        <v/>
      </c>
    </row>
    <row r="69">
      <c r="A69" s="5" t="inlineStr">
        <is>
          <t>T-12 net operating income</t>
        </is>
      </c>
      <c r="B69" s="7">
        <f>'T-12 Analysis'!B30</f>
        <v/>
      </c>
    </row>
    <row r="70">
      <c r="A70" s="5" t="inlineStr">
        <is>
          <t>T-12 cap rate</t>
        </is>
      </c>
      <c r="B70" s="9">
        <f>IFERROR(B69/B65,"")</f>
        <v/>
      </c>
    </row>
    <row r="72">
      <c r="A72" s="5" t="inlineStr">
        <is>
          <t>T-3 annualized revenue</t>
        </is>
      </c>
      <c r="B72" s="7">
        <f>'T-12 Analysis'!C16</f>
        <v/>
      </c>
    </row>
    <row r="73">
      <c r="A73" s="5" t="inlineStr">
        <is>
          <t>T-3 annualized operating expenses</t>
        </is>
      </c>
      <c r="B73" s="7">
        <f>'T-12 Analysis'!C29</f>
        <v/>
      </c>
    </row>
    <row r="74">
      <c r="A74" s="5" t="inlineStr">
        <is>
          <t>T-3 annualized net operating income</t>
        </is>
      </c>
      <c r="B74" s="7">
        <f>'T-12 Analysis'!C30</f>
        <v/>
      </c>
    </row>
    <row r="75">
      <c r="A75" s="5" t="inlineStr">
        <is>
          <t>T-3 annualized cap rate</t>
        </is>
      </c>
      <c r="B75" s="9">
        <f>IFERROR(B74/B65,"")</f>
        <v/>
      </c>
    </row>
    <row r="77">
      <c r="A77" s="4" t="inlineStr">
        <is>
          <t>Revenue trend</t>
        </is>
      </c>
      <c r="B77" s="4" t="n"/>
      <c r="C77" s="4" t="n"/>
      <c r="D77" s="4" t="n"/>
      <c r="E77" s="4" t="n"/>
      <c r="F77" s="4" t="n"/>
    </row>
    <row r="78">
      <c r="A78" s="5" t="inlineStr">
        <is>
          <t>T-12 revenue</t>
        </is>
      </c>
      <c r="B78" s="7">
        <f>'T-12 Analysis'!B16</f>
        <v/>
      </c>
    </row>
    <row r="79">
      <c r="A79" s="5" t="inlineStr">
        <is>
          <t>T-6 revenue (annualized)</t>
        </is>
      </c>
      <c r="B79" s="7">
        <f>SUM('T-12 Raw data'!I22:N22)*2</f>
        <v/>
      </c>
      <c r="C79" s="6" t="inlineStr">
        <is>
          <t>Trailing six months times two, off the T-12 Data tab's computed revenue row.</t>
        </is>
      </c>
    </row>
    <row r="80">
      <c r="A80" s="5" t="inlineStr">
        <is>
          <t>T-3 revenue (annualized)</t>
        </is>
      </c>
      <c r="B80" s="7">
        <f>'T-12 Analysis'!C16</f>
        <v/>
      </c>
    </row>
    <row r="81">
      <c r="A81" s="5" t="inlineStr">
        <is>
          <t>T-3 versus T-12</t>
        </is>
      </c>
      <c r="B81" s="11">
        <f>IFERROR(B80/B67-1,"")</f>
        <v/>
      </c>
      <c r="C81" s="6" t="inlineStr">
        <is>
          <t>Positive means the trailing three months are running ahead of the year.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38" customWidth="1" min="1" max="1"/>
    <col width="18" customWidth="1" min="2" max="2"/>
    <col width="18" customWidth="1" min="3" max="3"/>
    <col width="16" customWidth="1" min="4" max="4"/>
    <col width="14" customWidth="1" min="5" max="5"/>
    <col width="52" customWidth="1" min="6" max="6"/>
  </cols>
  <sheetData>
    <row r="1">
      <c r="A1" s="1" t="inlineStr">
        <is>
          <t>T-12 audit trail</t>
        </is>
      </c>
    </row>
    <row r="2">
      <c r="A2" s="2" t="inlineStr">
        <is>
          <t>Wildflower Crossing — as of 2025-11-12</t>
        </is>
      </c>
    </row>
    <row r="3">
      <c r="A3" s="2" t="inlineStr">
        <is>
          <t>AI Underwriting Pipeline — Sample Outputs</t>
        </is>
      </c>
    </row>
    <row r="4">
      <c r="A4" s="3" t="n"/>
      <c r="B4" s="3" t="n"/>
      <c r="C4" s="3" t="n"/>
      <c r="D4" s="3" t="n"/>
      <c r="E4" s="3" t="n"/>
      <c r="F4" s="3" t="n"/>
      <c r="G4" s="3" t="n"/>
      <c r="H4" s="3" t="n"/>
    </row>
    <row r="5">
      <c r="A5" s="4" t="inlineStr">
        <is>
          <t>Error check</t>
        </is>
      </c>
      <c r="B5" s="4" t="n"/>
      <c r="C5" s="4" t="n"/>
      <c r="D5" s="4" t="n"/>
      <c r="E5" s="4" t="n"/>
      <c r="F5" s="4" t="n"/>
    </row>
    <row r="6">
      <c r="A6" s="14" t="inlineStr">
        <is>
          <t>Check</t>
        </is>
      </c>
      <c r="B6" s="14" t="inlineStr">
        <is>
          <t>Our total</t>
        </is>
      </c>
      <c r="C6" s="14" t="inlineStr">
        <is>
          <t>Source subtotal</t>
        </is>
      </c>
      <c r="D6" s="14" t="inlineStr">
        <is>
          <t>Difference</t>
        </is>
      </c>
      <c r="E6" s="14" t="inlineStr">
        <is>
          <t>Status</t>
        </is>
      </c>
      <c r="F6" s="14" t="inlineStr">
        <is>
          <t>Note</t>
        </is>
      </c>
    </row>
    <row r="7">
      <c r="A7" s="5" t="inlineStr">
        <is>
          <t>Total Revenue</t>
        </is>
      </c>
      <c r="B7" s="7">
        <f>'T-12 Analysis'!B16</f>
        <v/>
      </c>
      <c r="C7" s="7" t="n">
        <v>713170.8</v>
      </c>
      <c r="D7" s="7">
        <f>IF(C7="","",IF(B7="",0,B7)-C7)</f>
        <v/>
      </c>
      <c r="E7" s="12">
        <f>IF(C7="","NOT CHECKED",IF(ABS(D7)&lt;=1,"OK","REVIEW"))</f>
        <v/>
      </c>
      <c r="F7" s="12" t="n"/>
    </row>
    <row r="8">
      <c r="A8" s="5" t="inlineStr">
        <is>
          <t>Total Operating Expenses</t>
        </is>
      </c>
      <c r="B8" s="7">
        <f>'T-12 Analysis'!B29</f>
        <v/>
      </c>
      <c r="C8" s="7" t="n">
        <v>392573.28</v>
      </c>
      <c r="D8" s="7">
        <f>IF(C8="","",IF(B8="",0,B8)-C8)</f>
        <v/>
      </c>
      <c r="E8" s="12">
        <f>IF(C8="","NOT CHECKED",IF(ABS(D8)&lt;=1,"OK","REVIEW"))</f>
        <v/>
      </c>
      <c r="F8" s="12" t="n"/>
    </row>
    <row r="9">
      <c r="A9" s="5" t="inlineStr">
        <is>
          <t>Net Operating Income</t>
        </is>
      </c>
      <c r="B9" s="7">
        <f>'T-12 Analysis'!B30</f>
        <v/>
      </c>
      <c r="C9" s="7" t="n">
        <v>320597.52</v>
      </c>
      <c r="D9" s="7">
        <f>IF(C9="","",IF(B9="",0,B9)-C9)</f>
        <v/>
      </c>
      <c r="E9" s="12">
        <f>IF(C9="","NOT CHECKED",IF(ABS(D9)&lt;=1,"OK","REVIEW"))</f>
        <v/>
      </c>
      <c r="F9" s="12" t="n"/>
    </row>
    <row r="10">
      <c r="A10" s="5" t="inlineStr">
        <is>
          <t>Other Income</t>
        </is>
      </c>
      <c r="B10" s="7">
        <f>'T-12 Analysis'!B14</f>
        <v/>
      </c>
      <c r="C10" s="12" t="n"/>
      <c r="D10" s="7">
        <f>IF(C10="","",IF(B10="",0,B10)-C10)</f>
        <v/>
      </c>
      <c r="E10" s="12">
        <f>IF(C10="","NOT CHECKED",IF(ABS(D10)&lt;=1,"OK","REVIEW"))</f>
        <v/>
      </c>
      <c r="F10" s="5" t="inlineStr">
        <is>
          <t>The source statement printed no subtotal for this line.</t>
        </is>
      </c>
    </row>
    <row r="11">
      <c r="A11" s="5" t="inlineStr">
        <is>
          <t>Utility Reimbursements</t>
        </is>
      </c>
      <c r="B11" s="7">
        <f>'T-12 Analysis'!B13</f>
        <v/>
      </c>
      <c r="C11" s="12" t="n"/>
      <c r="D11" s="7">
        <f>IF(C11="","",IF(B11="",0,B11)-C11)</f>
        <v/>
      </c>
      <c r="E11" s="12">
        <f>IF(C11="","NOT CHECKED",IF(ABS(D11)&lt;=1,"OK","REVIEW"))</f>
        <v/>
      </c>
      <c r="F11" s="5" t="inlineStr">
        <is>
          <t>The source statement printed no subtotal for this line.</t>
        </is>
      </c>
    </row>
    <row r="12">
      <c r="A12" s="5" t="inlineStr">
        <is>
          <t>Utilities</t>
        </is>
      </c>
      <c r="B12" s="7">
        <f>'T-12 Analysis'!B27</f>
        <v/>
      </c>
      <c r="C12" s="12" t="n"/>
      <c r="D12" s="7">
        <f>IF(C12="","",IF(B12="",0,B12)-C12)</f>
        <v/>
      </c>
      <c r="E12" s="12">
        <f>IF(C12="","NOT CHECKED",IF(ABS(D12)&lt;=1,"OK","REVIEW"))</f>
        <v/>
      </c>
      <c r="F12" s="5" t="inlineStr">
        <is>
          <t>The source statement printed no subtotal for this line.</t>
        </is>
      </c>
    </row>
    <row r="14">
      <c r="A14" s="2" t="inlineStr">
        <is>
          <t>A difference over one dollar reads REVIEW rather than quietly passing. A subtotal the source never printed reads NOT CHECKED — not OK, which would claim a tie that was never tested.</t>
        </is>
      </c>
    </row>
    <row r="16">
      <c r="A16" s="4" t="inlineStr">
        <is>
          <t>Statement sanity checks</t>
        </is>
      </c>
      <c r="B16" s="4" t="n"/>
      <c r="C16" s="4" t="n"/>
      <c r="D16" s="4" t="n"/>
      <c r="E16" s="4" t="n"/>
      <c r="F16" s="4" t="n"/>
    </row>
    <row r="17">
      <c r="A17" s="14" t="inlineStr">
        <is>
          <t>Guard</t>
        </is>
      </c>
      <c r="B17" s="14" t="inlineStr">
        <is>
          <t>Status</t>
        </is>
      </c>
      <c r="C17" s="14" t="inlineStr">
        <is>
          <t>Lines named</t>
        </is>
      </c>
      <c r="D17" s="14" t="inlineStr">
        <is>
          <t>Detail</t>
        </is>
      </c>
      <c r="E17" s="14" t="inlineStr"/>
      <c r="F17" s="14" t="inlineStr"/>
    </row>
    <row r="18">
      <c r="A18" s="5" t="inlineStr">
        <is>
          <t>Contra-revenue categories net negative</t>
        </is>
      </c>
      <c r="B18" s="5" t="inlineStr">
        <is>
          <t>OK</t>
        </is>
      </c>
      <c r="C18" s="5" t="inlineStr">
        <is>
          <t>—</t>
        </is>
      </c>
      <c r="D18" s="23" t="inlineStr">
        <is>
          <t>Every contra-revenue category (Vacancy, Concessions, Non-Revenue Units, Delinquency) nets negative, as it must.</t>
        </is>
      </c>
      <c r="E18" s="12" t="n"/>
      <c r="F18" s="12" t="n"/>
    </row>
    <row r="19">
      <c r="A19" s="5" t="inlineStr">
        <is>
          <t>Total operating expenses positive</t>
        </is>
      </c>
      <c r="B19" s="5" t="inlineStr">
        <is>
          <t>OK</t>
        </is>
      </c>
      <c r="C19" s="5" t="inlineStr">
        <is>
          <t>—</t>
        </is>
      </c>
      <c r="D19" s="23" t="inlineStr">
        <is>
          <t>Total operating expenses are $392,573 — positive, as an expense total must be.</t>
        </is>
      </c>
      <c r="E19" s="12" t="n"/>
      <c r="F19" s="12" t="n"/>
    </row>
    <row r="20">
      <c r="A20" s="5" t="inlineStr">
        <is>
          <t>No recovery lines inside expense buckets</t>
        </is>
      </c>
      <c r="B20" s="5" t="inlineStr">
        <is>
          <t>OK</t>
        </is>
      </c>
      <c r="C20" s="5" t="inlineStr">
        <is>
          <t>—</t>
        </is>
      </c>
      <c r="D20" s="23" t="inlineStr">
        <is>
          <t>No negative line inside an expense category carries a recovery word (rebill, reimburse, recover, recapture).</t>
        </is>
      </c>
      <c r="E20" s="12" t="n"/>
      <c r="F20" s="12" t="n"/>
    </row>
    <row r="21">
      <c r="A21" s="5" t="inlineStr">
        <is>
          <t>No subtotal row counted with its members</t>
        </is>
      </c>
      <c r="B21" s="5" t="inlineStr">
        <is>
          <t>OK</t>
        </is>
      </c>
      <c r="C21" s="5" t="inlineStr">
        <is>
          <t>—</t>
        </is>
      </c>
      <c r="D21" s="23" t="inlineStr">
        <is>
          <t>No categorised row named like a subtotal (|value| ≥ $500) equals the sum of one to three rows within 25 lines of it.</t>
        </is>
      </c>
      <c r="E21" s="12" t="n"/>
      <c r="F21" s="12" t="n"/>
    </row>
    <row r="22">
      <c r="A22" s="2" t="inlineStr">
        <is>
          <t>A REVIEW here is a fact about how the statement is printed, flagged for a reader to resolve; the P&amp;L above is the statement as categorised, unflipped.</t>
        </is>
      </c>
    </row>
    <row r="24">
      <c r="A24" s="4" t="inlineStr">
        <is>
          <t>Across the two documents: statement vs rent roll</t>
        </is>
      </c>
      <c r="B24" s="4" t="n"/>
      <c r="C24" s="4" t="n"/>
      <c r="D24" s="4" t="n"/>
      <c r="E24" s="4" t="n"/>
      <c r="F24" s="4" t="n"/>
    </row>
    <row r="25">
      <c r="A25" s="14" t="inlineStr">
        <is>
          <t>Tie</t>
        </is>
      </c>
      <c r="B25" s="14" t="inlineStr">
        <is>
          <t>Statement</t>
        </is>
      </c>
      <c r="C25" s="14" t="inlineStr">
        <is>
          <t>Rent roll</t>
        </is>
      </c>
      <c r="D25" s="14" t="inlineStr">
        <is>
          <t>Gap</t>
        </is>
      </c>
      <c r="E25" s="14" t="inlineStr">
        <is>
          <t>Status</t>
        </is>
      </c>
      <c r="F25" s="14" t="inlineStr">
        <is>
          <t>Basis / why not</t>
        </is>
      </c>
    </row>
    <row r="26">
      <c r="A26" s="5" t="inlineStr">
        <is>
          <t>Gross Potential Rent vs the roll's market rent x 12</t>
        </is>
      </c>
      <c r="B26" s="7" t="n">
        <v>742512</v>
      </c>
      <c r="C26" s="7" t="n">
        <v>723360</v>
      </c>
      <c r="D26" s="11" t="n">
        <v>0.02647644326476443</v>
      </c>
      <c r="E26" s="5" t="inlineStr">
        <is>
          <t>OK</t>
        </is>
      </c>
      <c r="F26" s="5" t="inlineStr">
        <is>
          <t>statement GPR, twelve months; roll market rent, every unit, x 12</t>
        </is>
      </c>
    </row>
    <row r="27">
      <c r="A27" s="5" t="inlineStr">
        <is>
          <t>Total Revenue vs the roll's in-place rent x 12</t>
        </is>
      </c>
      <c r="B27" s="7" t="n">
        <v>713170.8</v>
      </c>
      <c r="C27" s="7" t="n">
        <v>619080</v>
      </c>
      <c r="D27" s="11" t="n">
        <v>0.151984880790851</v>
      </c>
      <c r="E27" s="5" t="inlineStr">
        <is>
          <t>REVIEW</t>
        </is>
      </c>
      <c r="F27" s="5" t="inlineStr">
        <is>
          <t>statement total revenue; roll in-place rent, occupied units, x 12</t>
        </is>
      </c>
    </row>
    <row r="28">
      <c r="A28" s="2" t="inlineStr">
        <is>
          <t>Figures, not formulas — the roll is another workbook. A gap inside 10% reads OK; wider reads REVIEW; a side that is not there reads NOT CHECKED with the reason.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9"/>
  <sheetViews>
    <sheetView workbookViewId="0">
      <pane ySplit="5" topLeftCell="A6" activePane="bottomLeft" state="frozen"/>
      <selection pane="bottomLeft" activeCell="A1" sqref="A1"/>
    </sheetView>
  </sheetViews>
  <sheetFormatPr baseColWidth="8" defaultRowHeight="15"/>
  <cols>
    <col width="12" customWidth="1" min="1" max="1"/>
    <col width="14" customWidth="1" min="2" max="2"/>
    <col width="8" customWidth="1" min="3" max="3"/>
    <col width="8" customWidth="1" min="4" max="4"/>
    <col width="9" customWidth="1" min="5" max="5"/>
    <col width="11" customWidth="1" min="6" max="6"/>
    <col width="12" customWidth="1" min="7" max="7"/>
    <col width="12" customWidth="1" min="8" max="8"/>
    <col width="12" customWidth="1" min="9" max="9"/>
    <col width="13" customWidth="1" min="10" max="10"/>
    <col width="12" customWidth="1" min="11" max="11"/>
  </cols>
  <sheetData>
    <row r="1">
      <c r="A1" s="1" t="inlineStr">
        <is>
          <t>Rent roll</t>
        </is>
      </c>
    </row>
    <row r="2">
      <c r="A2" s="2" t="inlineStr">
        <is>
          <t>Wildflower Crossing — as of 2025-11-12</t>
        </is>
      </c>
    </row>
    <row r="3">
      <c r="A3" s="2" t="inlineStr">
        <is>
          <t>Unit identifiers only — no tenant names anywhere in this output. Lease type is derived from the gap between lease start and move-in (31-day tolerance); a blank means the source could not support a classification.</t>
        </is>
      </c>
    </row>
    <row r="4">
      <c r="A4" s="3" t="n"/>
      <c r="B4" s="3" t="n"/>
      <c r="C4" s="3" t="n"/>
      <c r="D4" s="3" t="n"/>
      <c r="E4" s="3" t="n"/>
      <c r="F4" s="3" t="n"/>
      <c r="G4" s="3" t="n"/>
      <c r="H4" s="3" t="n"/>
    </row>
    <row r="5">
      <c r="A5" s="14" t="inlineStr">
        <is>
          <t>Unit ID</t>
        </is>
      </c>
      <c r="B5" s="14" t="inlineStr">
        <is>
          <t>Floor plan</t>
        </is>
      </c>
      <c r="C5" s="14" t="inlineStr">
        <is>
          <t>Beds</t>
        </is>
      </c>
      <c r="D5" s="14" t="inlineStr">
        <is>
          <t>Baths</t>
        </is>
      </c>
      <c r="E5" s="14" t="inlineStr">
        <is>
          <t>SF</t>
        </is>
      </c>
      <c r="F5" s="14" t="inlineStr">
        <is>
          <t>Status</t>
        </is>
      </c>
      <c r="G5" s="14" t="inlineStr">
        <is>
          <t>Lease start</t>
        </is>
      </c>
      <c r="H5" s="14" t="inlineStr">
        <is>
          <t>Move-in</t>
        </is>
      </c>
      <c r="I5" s="14" t="inlineStr">
        <is>
          <t>Lease type</t>
        </is>
      </c>
      <c r="J5" s="14" t="inlineStr">
        <is>
          <t>In-place rent</t>
        </is>
      </c>
      <c r="K5" s="14" t="inlineStr">
        <is>
          <t>Rent per SF</t>
        </is>
      </c>
    </row>
    <row r="6">
      <c r="A6" s="5" t="inlineStr">
        <is>
          <t>101</t>
        </is>
      </c>
      <c r="B6" s="5" t="inlineStr">
        <is>
          <t>A1</t>
        </is>
      </c>
      <c r="C6" s="24" t="n">
        <v>2</v>
      </c>
      <c r="D6" s="24" t="n">
        <v>2</v>
      </c>
      <c r="E6" s="7" t="n">
        <v>1150</v>
      </c>
      <c r="F6" s="5" t="inlineStr">
        <is>
          <t>Occupied</t>
        </is>
      </c>
      <c r="G6" s="25" t="n">
        <v>45306</v>
      </c>
      <c r="H6" s="25" t="n">
        <v>45306</v>
      </c>
      <c r="I6" s="5" t="inlineStr">
        <is>
          <t>New</t>
        </is>
      </c>
      <c r="J6" s="7" t="n">
        <v>2090</v>
      </c>
      <c r="K6" s="26">
        <f>IFERROR(J6/E6,"")</f>
        <v/>
      </c>
    </row>
    <row r="7">
      <c r="A7" s="5" t="inlineStr">
        <is>
          <t>102</t>
        </is>
      </c>
      <c r="B7" s="5" t="inlineStr">
        <is>
          <t>B2</t>
        </is>
      </c>
      <c r="C7" s="24" t="n">
        <v>3</v>
      </c>
      <c r="D7" s="24" t="n">
        <v>2</v>
      </c>
      <c r="E7" s="7" t="n">
        <v>1440</v>
      </c>
      <c r="F7" s="5" t="inlineStr">
        <is>
          <t>Occupied</t>
        </is>
      </c>
      <c r="G7" s="25" t="n">
        <v>45335</v>
      </c>
      <c r="H7" s="25" t="n">
        <v>45335</v>
      </c>
      <c r="I7" s="5" t="inlineStr">
        <is>
          <t>New</t>
        </is>
      </c>
      <c r="J7" s="7" t="n">
        <v>2425</v>
      </c>
      <c r="K7" s="26">
        <f>IFERROR(J7/E7,"")</f>
        <v/>
      </c>
    </row>
    <row r="8">
      <c r="A8" s="5" t="inlineStr">
        <is>
          <t>103</t>
        </is>
      </c>
      <c r="B8" s="5" t="inlineStr">
        <is>
          <t>C3</t>
        </is>
      </c>
      <c r="C8" s="24" t="n">
        <v>4</v>
      </c>
      <c r="D8" s="24" t="n">
        <v>3</v>
      </c>
      <c r="E8" s="7" t="n">
        <v>1785</v>
      </c>
      <c r="F8" s="5" t="inlineStr">
        <is>
          <t>Occupied</t>
        </is>
      </c>
      <c r="G8" s="25" t="n">
        <v>45364</v>
      </c>
      <c r="H8" s="25" t="n">
        <v>45364</v>
      </c>
      <c r="I8" s="5" t="inlineStr">
        <is>
          <t>New</t>
        </is>
      </c>
      <c r="J8" s="7" t="n">
        <v>2855</v>
      </c>
      <c r="K8" s="26">
        <f>IFERROR(J8/E8,"")</f>
        <v/>
      </c>
    </row>
    <row r="9">
      <c r="A9" s="5" t="inlineStr">
        <is>
          <t>104</t>
        </is>
      </c>
      <c r="B9" s="5" t="inlineStr">
        <is>
          <t>A1</t>
        </is>
      </c>
      <c r="C9" s="24" t="n">
        <v>2</v>
      </c>
      <c r="D9" s="24" t="n">
        <v>2</v>
      </c>
      <c r="E9" s="7" t="n">
        <v>1150</v>
      </c>
      <c r="F9" s="5" t="inlineStr">
        <is>
          <t>Vacant</t>
        </is>
      </c>
      <c r="G9" s="12" t="n"/>
      <c r="H9" s="12" t="n"/>
      <c r="I9" s="12" t="n"/>
      <c r="J9" s="12" t="n"/>
      <c r="K9" s="26">
        <f>IFERROR(J9/E9,"")</f>
        <v/>
      </c>
    </row>
    <row r="10">
      <c r="A10" s="5" t="inlineStr">
        <is>
          <t>105</t>
        </is>
      </c>
      <c r="B10" s="5" t="inlineStr">
        <is>
          <t>B2</t>
        </is>
      </c>
      <c r="C10" s="24" t="n">
        <v>3</v>
      </c>
      <c r="D10" s="24" t="n">
        <v>2</v>
      </c>
      <c r="E10" s="7" t="n">
        <v>1440</v>
      </c>
      <c r="F10" s="5" t="inlineStr">
        <is>
          <t>Occupied</t>
        </is>
      </c>
      <c r="G10" s="25" t="n">
        <v>45422</v>
      </c>
      <c r="H10" s="25" t="n">
        <v>45422</v>
      </c>
      <c r="I10" s="5" t="inlineStr">
        <is>
          <t>New</t>
        </is>
      </c>
      <c r="J10" s="7" t="n">
        <v>2425</v>
      </c>
      <c r="K10" s="26">
        <f>IFERROR(J10/E10,"")</f>
        <v/>
      </c>
    </row>
    <row r="11">
      <c r="A11" s="5" t="inlineStr">
        <is>
          <t>106</t>
        </is>
      </c>
      <c r="B11" s="5" t="inlineStr">
        <is>
          <t>C3</t>
        </is>
      </c>
      <c r="C11" s="24" t="n">
        <v>4</v>
      </c>
      <c r="D11" s="24" t="n">
        <v>3</v>
      </c>
      <c r="E11" s="7" t="n">
        <v>1785</v>
      </c>
      <c r="F11" s="5" t="inlineStr">
        <is>
          <t>Occupied</t>
        </is>
      </c>
      <c r="G11" s="25" t="n">
        <v>45451</v>
      </c>
      <c r="H11" s="25" t="n">
        <v>45451</v>
      </c>
      <c r="I11" s="5" t="inlineStr">
        <is>
          <t>New</t>
        </is>
      </c>
      <c r="J11" s="7" t="n">
        <v>2855</v>
      </c>
      <c r="K11" s="26">
        <f>IFERROR(J11/E11,"")</f>
        <v/>
      </c>
    </row>
    <row r="12">
      <c r="A12" s="5" t="inlineStr">
        <is>
          <t>107</t>
        </is>
      </c>
      <c r="B12" s="5" t="inlineStr">
        <is>
          <t>A1</t>
        </is>
      </c>
      <c r="C12" s="24" t="n">
        <v>2</v>
      </c>
      <c r="D12" s="24" t="n">
        <v>2</v>
      </c>
      <c r="E12" s="7" t="n">
        <v>1150</v>
      </c>
      <c r="F12" s="5" t="inlineStr">
        <is>
          <t>Occupied</t>
        </is>
      </c>
      <c r="G12" s="25" t="n">
        <v>45480</v>
      </c>
      <c r="H12" s="25" t="n">
        <v>45480</v>
      </c>
      <c r="I12" s="5" t="inlineStr">
        <is>
          <t>New</t>
        </is>
      </c>
      <c r="J12" s="7" t="n">
        <v>2090</v>
      </c>
      <c r="K12" s="26">
        <f>IFERROR(J12/E12,"")</f>
        <v/>
      </c>
    </row>
    <row r="13">
      <c r="A13" s="5" t="inlineStr">
        <is>
          <t>108</t>
        </is>
      </c>
      <c r="B13" s="5" t="inlineStr">
        <is>
          <t>B2</t>
        </is>
      </c>
      <c r="C13" s="24" t="n">
        <v>3</v>
      </c>
      <c r="D13" s="24" t="n">
        <v>2</v>
      </c>
      <c r="E13" s="7" t="n">
        <v>1440</v>
      </c>
      <c r="F13" s="5" t="inlineStr">
        <is>
          <t>Occupied</t>
        </is>
      </c>
      <c r="G13" s="25" t="n">
        <v>45509</v>
      </c>
      <c r="H13" s="25" t="n">
        <v>45509</v>
      </c>
      <c r="I13" s="5" t="inlineStr">
        <is>
          <t>New</t>
        </is>
      </c>
      <c r="J13" s="7" t="n">
        <v>2425</v>
      </c>
      <c r="K13" s="26">
        <f>IFERROR(J13/E13,"")</f>
        <v/>
      </c>
    </row>
    <row r="14">
      <c r="A14" s="5" t="inlineStr">
        <is>
          <t>109</t>
        </is>
      </c>
      <c r="B14" s="5" t="inlineStr">
        <is>
          <t>C3</t>
        </is>
      </c>
      <c r="C14" s="24" t="n">
        <v>4</v>
      </c>
      <c r="D14" s="24" t="n">
        <v>3</v>
      </c>
      <c r="E14" s="7" t="n">
        <v>1785</v>
      </c>
      <c r="F14" s="5" t="inlineStr">
        <is>
          <t>Occupied</t>
        </is>
      </c>
      <c r="G14" s="25" t="n">
        <v>45538</v>
      </c>
      <c r="H14" s="25" t="n">
        <v>45538</v>
      </c>
      <c r="I14" s="5" t="inlineStr">
        <is>
          <t>New</t>
        </is>
      </c>
      <c r="J14" s="7" t="n">
        <v>2855</v>
      </c>
      <c r="K14" s="26">
        <f>IFERROR(J14/E14,"")</f>
        <v/>
      </c>
    </row>
    <row r="15">
      <c r="A15" s="5" t="inlineStr">
        <is>
          <t>110</t>
        </is>
      </c>
      <c r="B15" s="5" t="inlineStr">
        <is>
          <t>A1</t>
        </is>
      </c>
      <c r="C15" s="24" t="n">
        <v>2</v>
      </c>
      <c r="D15" s="24" t="n">
        <v>2</v>
      </c>
      <c r="E15" s="7" t="n">
        <v>1150</v>
      </c>
      <c r="F15" s="5" t="inlineStr">
        <is>
          <t>Occupied</t>
        </is>
      </c>
      <c r="G15" s="25" t="n">
        <v>45567</v>
      </c>
      <c r="H15" s="25" t="n">
        <v>45567</v>
      </c>
      <c r="I15" s="5" t="inlineStr">
        <is>
          <t>New</t>
        </is>
      </c>
      <c r="J15" s="7" t="n">
        <v>2090</v>
      </c>
      <c r="K15" s="26">
        <f>IFERROR(J15/E15,"")</f>
        <v/>
      </c>
    </row>
    <row r="16">
      <c r="A16" s="5" t="inlineStr">
        <is>
          <t>111</t>
        </is>
      </c>
      <c r="B16" s="5" t="inlineStr">
        <is>
          <t>B2</t>
        </is>
      </c>
      <c r="C16" s="24" t="n">
        <v>3</v>
      </c>
      <c r="D16" s="24" t="n">
        <v>2</v>
      </c>
      <c r="E16" s="7" t="n">
        <v>1440</v>
      </c>
      <c r="F16" s="5" t="inlineStr">
        <is>
          <t>Occupied</t>
        </is>
      </c>
      <c r="G16" s="25" t="n">
        <v>45596</v>
      </c>
      <c r="H16" s="25" t="n">
        <v>45596</v>
      </c>
      <c r="I16" s="5" t="inlineStr">
        <is>
          <t>New</t>
        </is>
      </c>
      <c r="J16" s="7" t="n">
        <v>2425</v>
      </c>
      <c r="K16" s="26">
        <f>IFERROR(J16/E16,"")</f>
        <v/>
      </c>
    </row>
    <row r="17">
      <c r="A17" s="5" t="inlineStr">
        <is>
          <t>112</t>
        </is>
      </c>
      <c r="B17" s="5" t="inlineStr">
        <is>
          <t>C3</t>
        </is>
      </c>
      <c r="C17" s="24" t="n">
        <v>4</v>
      </c>
      <c r="D17" s="24" t="n">
        <v>3</v>
      </c>
      <c r="E17" s="7" t="n">
        <v>1785</v>
      </c>
      <c r="F17" s="5" t="inlineStr">
        <is>
          <t>Vacant</t>
        </is>
      </c>
      <c r="G17" s="12" t="n"/>
      <c r="H17" s="12" t="n"/>
      <c r="I17" s="12" t="n"/>
      <c r="J17" s="12" t="n"/>
      <c r="K17" s="26">
        <f>IFERROR(J17/E17,"")</f>
        <v/>
      </c>
    </row>
    <row r="18">
      <c r="A18" s="5" t="inlineStr">
        <is>
          <t>113</t>
        </is>
      </c>
      <c r="B18" s="5" t="inlineStr">
        <is>
          <t>A1</t>
        </is>
      </c>
      <c r="C18" s="24" t="n">
        <v>2</v>
      </c>
      <c r="D18" s="24" t="n">
        <v>2</v>
      </c>
      <c r="E18" s="7" t="n">
        <v>1150</v>
      </c>
      <c r="F18" s="5" t="inlineStr">
        <is>
          <t>Occupied</t>
        </is>
      </c>
      <c r="G18" s="25" t="n">
        <v>45654</v>
      </c>
      <c r="H18" s="25" t="n">
        <v>45654</v>
      </c>
      <c r="I18" s="5" t="inlineStr">
        <is>
          <t>New</t>
        </is>
      </c>
      <c r="J18" s="7" t="n">
        <v>2090</v>
      </c>
      <c r="K18" s="26">
        <f>IFERROR(J18/E18,"")</f>
        <v/>
      </c>
    </row>
    <row r="19">
      <c r="A19" s="5" t="inlineStr">
        <is>
          <t>114</t>
        </is>
      </c>
      <c r="B19" s="5" t="inlineStr">
        <is>
          <t>B2</t>
        </is>
      </c>
      <c r="C19" s="24" t="n">
        <v>3</v>
      </c>
      <c r="D19" s="24" t="n">
        <v>2</v>
      </c>
      <c r="E19" s="7" t="n">
        <v>1440</v>
      </c>
      <c r="F19" s="5" t="inlineStr">
        <is>
          <t>Occupied</t>
        </is>
      </c>
      <c r="G19" s="25" t="n">
        <v>45683</v>
      </c>
      <c r="H19" s="25" t="n">
        <v>45683</v>
      </c>
      <c r="I19" s="5" t="inlineStr">
        <is>
          <t>New</t>
        </is>
      </c>
      <c r="J19" s="7" t="n">
        <v>2425</v>
      </c>
      <c r="K19" s="26">
        <f>IFERROR(J19/E19,"")</f>
        <v/>
      </c>
    </row>
    <row r="20">
      <c r="A20" s="5" t="inlineStr">
        <is>
          <t>115</t>
        </is>
      </c>
      <c r="B20" s="5" t="inlineStr">
        <is>
          <t>C3</t>
        </is>
      </c>
      <c r="C20" s="24" t="n">
        <v>4</v>
      </c>
      <c r="D20" s="24" t="n">
        <v>3</v>
      </c>
      <c r="E20" s="7" t="n">
        <v>1785</v>
      </c>
      <c r="F20" s="5" t="inlineStr">
        <is>
          <t>Occupied</t>
        </is>
      </c>
      <c r="G20" s="25" t="n">
        <v>45712</v>
      </c>
      <c r="H20" s="25" t="n">
        <v>45712</v>
      </c>
      <c r="I20" s="5" t="inlineStr">
        <is>
          <t>New</t>
        </is>
      </c>
      <c r="J20" s="7" t="n">
        <v>2855</v>
      </c>
      <c r="K20" s="26">
        <f>IFERROR(J20/E20,"")</f>
        <v/>
      </c>
    </row>
    <row r="21">
      <c r="A21" s="5" t="inlineStr">
        <is>
          <t>116</t>
        </is>
      </c>
      <c r="B21" s="5" t="inlineStr">
        <is>
          <t>A1</t>
        </is>
      </c>
      <c r="C21" s="24" t="n">
        <v>2</v>
      </c>
      <c r="D21" s="24" t="n">
        <v>2</v>
      </c>
      <c r="E21" s="7" t="n">
        <v>1150</v>
      </c>
      <c r="F21" s="5" t="inlineStr">
        <is>
          <t>Occupied</t>
        </is>
      </c>
      <c r="G21" s="25" t="n">
        <v>45741</v>
      </c>
      <c r="H21" s="25" t="n">
        <v>45741</v>
      </c>
      <c r="I21" s="5" t="inlineStr">
        <is>
          <t>New</t>
        </is>
      </c>
      <c r="J21" s="7" t="n">
        <v>2090</v>
      </c>
      <c r="K21" s="26">
        <f>IFERROR(J21/E21,"")</f>
        <v/>
      </c>
    </row>
    <row r="22">
      <c r="A22" s="5" t="inlineStr">
        <is>
          <t>117</t>
        </is>
      </c>
      <c r="B22" s="5" t="inlineStr">
        <is>
          <t>B2</t>
        </is>
      </c>
      <c r="C22" s="24" t="n">
        <v>3</v>
      </c>
      <c r="D22" s="24" t="n">
        <v>2</v>
      </c>
      <c r="E22" s="7" t="n">
        <v>1440</v>
      </c>
      <c r="F22" s="5" t="inlineStr">
        <is>
          <t>Occupied</t>
        </is>
      </c>
      <c r="G22" s="25" t="n">
        <v>45770</v>
      </c>
      <c r="H22" s="25" t="n">
        <v>45770</v>
      </c>
      <c r="I22" s="5" t="inlineStr">
        <is>
          <t>New</t>
        </is>
      </c>
      <c r="J22" s="7" t="n">
        <v>2425</v>
      </c>
      <c r="K22" s="26">
        <f>IFERROR(J22/E22,"")</f>
        <v/>
      </c>
    </row>
    <row r="23">
      <c r="A23" s="5" t="inlineStr">
        <is>
          <t>118</t>
        </is>
      </c>
      <c r="B23" s="5" t="inlineStr">
        <is>
          <t>C3</t>
        </is>
      </c>
      <c r="C23" s="24" t="n">
        <v>4</v>
      </c>
      <c r="D23" s="24" t="n">
        <v>3</v>
      </c>
      <c r="E23" s="7" t="n">
        <v>1785</v>
      </c>
      <c r="F23" s="5" t="inlineStr">
        <is>
          <t>Occupied</t>
        </is>
      </c>
      <c r="G23" s="25" t="n">
        <v>45799</v>
      </c>
      <c r="H23" s="25" t="n">
        <v>45799</v>
      </c>
      <c r="I23" s="5" t="inlineStr">
        <is>
          <t>New</t>
        </is>
      </c>
      <c r="J23" s="7" t="n">
        <v>2855</v>
      </c>
      <c r="K23" s="26">
        <f>IFERROR(J23/E23,"")</f>
        <v/>
      </c>
    </row>
    <row r="24">
      <c r="A24" s="5" t="inlineStr">
        <is>
          <t>119</t>
        </is>
      </c>
      <c r="B24" s="5" t="inlineStr">
        <is>
          <t>A1</t>
        </is>
      </c>
      <c r="C24" s="24" t="n">
        <v>2</v>
      </c>
      <c r="D24" s="24" t="n">
        <v>2</v>
      </c>
      <c r="E24" s="7" t="n">
        <v>1150</v>
      </c>
      <c r="F24" s="5" t="inlineStr">
        <is>
          <t>Occupied</t>
        </is>
      </c>
      <c r="G24" s="25" t="n">
        <v>45828</v>
      </c>
      <c r="H24" s="25" t="n">
        <v>45828</v>
      </c>
      <c r="I24" s="5" t="inlineStr">
        <is>
          <t>New</t>
        </is>
      </c>
      <c r="J24" s="7" t="n">
        <v>2090</v>
      </c>
      <c r="K24" s="26">
        <f>IFERROR(J24/E24,"")</f>
        <v/>
      </c>
    </row>
    <row r="25">
      <c r="A25" s="5" t="inlineStr">
        <is>
          <t>120</t>
        </is>
      </c>
      <c r="B25" s="5" t="inlineStr">
        <is>
          <t>B2</t>
        </is>
      </c>
      <c r="C25" s="24" t="n">
        <v>3</v>
      </c>
      <c r="D25" s="24" t="n">
        <v>2</v>
      </c>
      <c r="E25" s="7" t="n">
        <v>1440</v>
      </c>
      <c r="F25" s="5" t="inlineStr">
        <is>
          <t>Vacant</t>
        </is>
      </c>
      <c r="G25" s="12" t="n"/>
      <c r="H25" s="12" t="n"/>
      <c r="I25" s="12" t="n"/>
      <c r="J25" s="12" t="n"/>
      <c r="K25" s="26">
        <f>IFERROR(J25/E25,"")</f>
        <v/>
      </c>
    </row>
    <row r="26">
      <c r="A26" s="5" t="inlineStr">
        <is>
          <t>121</t>
        </is>
      </c>
      <c r="B26" s="5" t="inlineStr">
        <is>
          <t>C3</t>
        </is>
      </c>
      <c r="C26" s="24" t="n">
        <v>4</v>
      </c>
      <c r="D26" s="24" t="n">
        <v>3</v>
      </c>
      <c r="E26" s="7" t="n">
        <v>1785</v>
      </c>
      <c r="F26" s="5" t="inlineStr">
        <is>
          <t>Occupied</t>
        </is>
      </c>
      <c r="G26" s="25" t="n">
        <v>45886</v>
      </c>
      <c r="H26" s="25" t="n">
        <v>45886</v>
      </c>
      <c r="I26" s="5" t="inlineStr">
        <is>
          <t>New</t>
        </is>
      </c>
      <c r="J26" s="7" t="n">
        <v>2855</v>
      </c>
      <c r="K26" s="26">
        <f>IFERROR(J26/E26,"")</f>
        <v/>
      </c>
    </row>
    <row r="27">
      <c r="A27" s="5" t="inlineStr">
        <is>
          <t>122</t>
        </is>
      </c>
      <c r="B27" s="5" t="inlineStr">
        <is>
          <t>A1</t>
        </is>
      </c>
      <c r="C27" s="24" t="n">
        <v>2</v>
      </c>
      <c r="D27" s="24" t="n">
        <v>2</v>
      </c>
      <c r="E27" s="7" t="n">
        <v>1150</v>
      </c>
      <c r="F27" s="5" t="inlineStr">
        <is>
          <t>Occupied</t>
        </is>
      </c>
      <c r="G27" s="25" t="n">
        <v>45915</v>
      </c>
      <c r="H27" s="25" t="n">
        <v>45915</v>
      </c>
      <c r="I27" s="5" t="inlineStr">
        <is>
          <t>New</t>
        </is>
      </c>
      <c r="J27" s="7" t="n">
        <v>2090</v>
      </c>
      <c r="K27" s="26">
        <f>IFERROR(J27/E27,"")</f>
        <v/>
      </c>
    </row>
    <row r="28">
      <c r="A28" s="5" t="inlineStr">
        <is>
          <t>123</t>
        </is>
      </c>
      <c r="B28" s="5" t="inlineStr">
        <is>
          <t>B2</t>
        </is>
      </c>
      <c r="C28" s="24" t="n">
        <v>3</v>
      </c>
      <c r="D28" s="24" t="n">
        <v>2</v>
      </c>
      <c r="E28" s="7" t="n">
        <v>1440</v>
      </c>
      <c r="F28" s="5" t="inlineStr">
        <is>
          <t>Occupied</t>
        </is>
      </c>
      <c r="G28" s="25" t="n">
        <v>45944</v>
      </c>
      <c r="H28" s="25" t="n">
        <v>45944</v>
      </c>
      <c r="I28" s="5" t="inlineStr">
        <is>
          <t>New</t>
        </is>
      </c>
      <c r="J28" s="7" t="n">
        <v>2425</v>
      </c>
      <c r="K28" s="26">
        <f>IFERROR(J28/E28,"")</f>
        <v/>
      </c>
    </row>
    <row r="29">
      <c r="A29" s="5" t="inlineStr">
        <is>
          <t>124</t>
        </is>
      </c>
      <c r="B29" s="5" t="inlineStr">
        <is>
          <t>C3</t>
        </is>
      </c>
      <c r="C29" s="24" t="n">
        <v>4</v>
      </c>
      <c r="D29" s="24" t="n">
        <v>3</v>
      </c>
      <c r="E29" s="7" t="n">
        <v>1785</v>
      </c>
      <c r="F29" s="5" t="inlineStr">
        <is>
          <t>Occupied</t>
        </is>
      </c>
      <c r="G29" s="25" t="n">
        <v>45973</v>
      </c>
      <c r="H29" s="25" t="n">
        <v>45973</v>
      </c>
      <c r="I29" s="5" t="inlineStr">
        <is>
          <t>New</t>
        </is>
      </c>
      <c r="J29" s="7" t="n">
        <v>2855</v>
      </c>
      <c r="K29" s="26">
        <f>IFERROR(J29/E29,"")</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3"/>
  <sheetViews>
    <sheetView workbookViewId="0">
      <pane ySplit="4" topLeftCell="A5" activePane="bottomLeft" state="frozen"/>
      <selection pane="bottomLeft" activeCell="A1" sqref="A1"/>
    </sheetView>
  </sheetViews>
  <sheetFormatPr baseColWidth="8" defaultRowHeight="15"/>
  <cols>
    <col width="10" customWidth="1" min="1" max="1"/>
    <col width="16" customWidth="1" min="2" max="2"/>
    <col width="10" customWidth="1" min="3" max="3"/>
    <col width="11" customWidth="1" min="4" max="4"/>
    <col width="14" customWidth="1" min="5" max="5"/>
    <col width="15" customWidth="1" min="6" max="6"/>
    <col width="9" customWidth="1" min="7" max="7"/>
    <col width="15" customWidth="1" min="8" max="8"/>
    <col width="10" customWidth="1" min="9" max="9"/>
    <col width="21" customWidth="1" min="10" max="10"/>
    <col width="34" customWidth="1" min="11" max="11"/>
  </cols>
  <sheetData>
    <row r="1">
      <c r="A1" s="1" t="inlineStr">
        <is>
          <t>Unit mix summary</t>
        </is>
      </c>
    </row>
    <row r="2">
      <c r="A2" s="2" t="inlineStr">
        <is>
          <t>Wildflower Crossing — as of 2025-11-12</t>
        </is>
      </c>
    </row>
    <row r="3">
      <c r="A3" s="2" t="inlineStr">
        <is>
          <t>AI Underwriting Pipeline — Sample Outputs</t>
        </is>
      </c>
    </row>
    <row r="4">
      <c r="A4" s="3" t="n"/>
      <c r="B4" s="3" t="n"/>
      <c r="C4" s="3" t="n"/>
      <c r="D4" s="3" t="n"/>
      <c r="E4" s="3" t="n"/>
      <c r="F4" s="3" t="n"/>
      <c r="G4" s="3" t="n"/>
      <c r="H4" s="3" t="n"/>
    </row>
    <row r="5">
      <c r="A5" s="13" t="inlineStr">
        <is>
          <t>Months lookback</t>
        </is>
      </c>
      <c r="B5" s="17" t="n">
        <v>12</v>
      </c>
      <c r="D5" s="13" t="inlineStr">
        <is>
          <t>As-of date</t>
        </is>
      </c>
      <c r="E5" s="27" t="n">
        <v>45973</v>
      </c>
      <c r="G5" s="13" t="inlineStr">
        <is>
          <t>New-tenant tol (days)</t>
        </is>
      </c>
      <c r="H5" s="17" t="n">
        <v>31</v>
      </c>
    </row>
    <row r="6">
      <c r="A6" s="2" t="inlineStr">
        <is>
          <t>Every window below is measured from the as-of date, never from today — a summary that silently re-windows when reopened next quarter is worse than none.</t>
        </is>
      </c>
    </row>
    <row r="8">
      <c r="A8" s="14" t="inlineStr">
        <is>
          <t>Bedroom</t>
        </is>
      </c>
      <c r="B8" s="14" t="inlineStr">
        <is>
          <t>Floor plan</t>
        </is>
      </c>
      <c r="C8" s="14" t="inlineStr">
        <is>
          <t>Avg SF</t>
        </is>
      </c>
      <c r="D8" s="14" t="inlineStr">
        <is>
          <t>Unit count</t>
        </is>
      </c>
      <c r="E8" s="14" t="inlineStr">
        <is>
          <t>In-place rent</t>
        </is>
      </c>
      <c r="F8" s="14" t="inlineStr">
        <is>
          <t>LEASES SIGNED rent</t>
        </is>
      </c>
      <c r="G8" s="14" t="inlineStr">
        <is>
          <t>Signed #</t>
        </is>
      </c>
      <c r="H8" s="14" t="inlineStr">
        <is>
          <t>NEW MOVE-IN rent</t>
        </is>
      </c>
      <c r="I8" s="14" t="inlineStr">
        <is>
          <t>Move-In #</t>
        </is>
      </c>
      <c r="J8" s="14" t="inlineStr">
        <is>
          <t>Market rent for model</t>
        </is>
      </c>
      <c r="K8" s="14" t="inlineStr">
        <is>
          <t>Basis</t>
        </is>
      </c>
    </row>
    <row r="9">
      <c r="A9" s="24" t="n">
        <v>2</v>
      </c>
      <c r="B9" s="5" t="inlineStr">
        <is>
          <t>A1</t>
        </is>
      </c>
      <c r="C9" s="7">
        <f>IFERROR(AVERAGEIF('RR Raw data'!$B$6:$B$29,$B9,'RR Raw data'!$E$6:$E$29),"")</f>
        <v/>
      </c>
      <c r="D9" s="7">
        <f>COUNTIF('RR Raw data'!$B$6:$B$29,$B9)</f>
        <v/>
      </c>
      <c r="E9" s="7">
        <f>IFERROR(AVERAGEIFS('RR Raw data'!$J$6:$J$29,'RR Raw data'!$B$6:$B$29,$B9,'RR Raw data'!$F$6:$F$29,"Occupied"),"")</f>
        <v/>
      </c>
      <c r="F9" s="7" t="n">
        <v>2090</v>
      </c>
      <c r="G9" s="7" t="n">
        <v>4</v>
      </c>
      <c r="H9" s="7" t="n">
        <v>2090</v>
      </c>
      <c r="I9" s="7" t="n">
        <v>4</v>
      </c>
      <c r="J9" s="7" t="n">
        <v>2090</v>
      </c>
      <c r="K9" s="5" t="inlineStr">
        <is>
          <t>New move-ins (n=4)</t>
        </is>
      </c>
    </row>
    <row r="10">
      <c r="A10" s="24" t="n">
        <v>3</v>
      </c>
      <c r="B10" s="5" t="inlineStr">
        <is>
          <t>B2</t>
        </is>
      </c>
      <c r="C10" s="7">
        <f>IFERROR(AVERAGEIF('RR Raw data'!$B$6:$B$29,$B10,'RR Raw data'!$E$6:$E$29),"")</f>
        <v/>
      </c>
      <c r="D10" s="7">
        <f>COUNTIF('RR Raw data'!$B$6:$B$29,$B10)</f>
        <v/>
      </c>
      <c r="E10" s="7">
        <f>IFERROR(AVERAGEIFS('RR Raw data'!$J$6:$J$29,'RR Raw data'!$B$6:$B$29,$B10,'RR Raw data'!$F$6:$F$29,"Occupied"),"")</f>
        <v/>
      </c>
      <c r="F10" s="7" t="n">
        <v>2425</v>
      </c>
      <c r="G10" s="7" t="n">
        <v>3</v>
      </c>
      <c r="H10" s="7" t="n">
        <v>2425</v>
      </c>
      <c r="I10" s="7" t="n">
        <v>3</v>
      </c>
      <c r="J10" s="7" t="n">
        <v>2425</v>
      </c>
      <c r="K10" s="5" t="inlineStr">
        <is>
          <t>New move-ins (n=3)</t>
        </is>
      </c>
    </row>
    <row r="11">
      <c r="A11" s="24" t="n">
        <v>4</v>
      </c>
      <c r="B11" s="5" t="inlineStr">
        <is>
          <t>C3</t>
        </is>
      </c>
      <c r="C11" s="7">
        <f>IFERROR(AVERAGEIF('RR Raw data'!$B$6:$B$29,$B11,'RR Raw data'!$E$6:$E$29),"")</f>
        <v/>
      </c>
      <c r="D11" s="7">
        <f>COUNTIF('RR Raw data'!$B$6:$B$29,$B11)</f>
        <v/>
      </c>
      <c r="E11" s="7">
        <f>IFERROR(AVERAGEIFS('RR Raw data'!$J$6:$J$29,'RR Raw data'!$B$6:$B$29,$B11,'RR Raw data'!$F$6:$F$29,"Occupied"),"")</f>
        <v/>
      </c>
      <c r="F11" s="7" t="n">
        <v>2855</v>
      </c>
      <c r="G11" s="7" t="n">
        <v>4</v>
      </c>
      <c r="H11" s="7" t="n">
        <v>2855</v>
      </c>
      <c r="I11" s="7" t="n">
        <v>4</v>
      </c>
      <c r="J11" s="7" t="n">
        <v>2855</v>
      </c>
      <c r="K11" s="5" t="inlineStr">
        <is>
          <t>New move-ins (n=4)</t>
        </is>
      </c>
    </row>
    <row r="13">
      <c r="A13" s="19" t="n"/>
      <c r="B13" s="22" t="inlineStr">
        <is>
          <t>TOTAL</t>
        </is>
      </c>
      <c r="C13" s="20">
        <f>IFERROR(SUMPRODUCT($D$9:$D$11,$C$9:$C$11)/SUM($D$9:$D$11),"")</f>
        <v/>
      </c>
      <c r="D13" s="20">
        <f>SUM(D9:D11)</f>
        <v/>
      </c>
      <c r="E13" s="20">
        <f>IFERROR(AVERAGEIFS('RR Raw data'!$J$6:$J$29,'RR Raw data'!$F$6:$F$29,"Occupied"),"")</f>
        <v/>
      </c>
      <c r="F13" s="20">
        <f>IFERROR(SUMPRODUCT($F$9:$F$11,$G$9:$G$11)/SUM($G$9:$G$11),"")</f>
        <v/>
      </c>
      <c r="G13" s="20">
        <f>SUM(G9:G11)</f>
        <v/>
      </c>
      <c r="H13" s="20">
        <f>IFERROR(SUMPRODUCT($H$9:$H$11,$I$9:$I$11)/SUM($I$9:$I$11),"")</f>
        <v/>
      </c>
      <c r="I13" s="20">
        <f>SUM(I9:I11)</f>
        <v/>
      </c>
      <c r="J13" s="20">
        <f>IFERROR(SUMPRODUCT($D$9:$D$11,$J$9:$J$11)/SUM($D$9:$D$11),"")</f>
        <v/>
      </c>
      <c r="K13" s="22" t="inlineStr">
        <is>
          <t>Weighted by unit count.</t>
        </is>
      </c>
    </row>
    <row r="15">
      <c r="A15" s="4" t="inlineStr">
        <is>
          <t>Occupancy &amp; vacancy</t>
        </is>
      </c>
      <c r="B15" s="4" t="n"/>
      <c r="C15" s="4" t="n"/>
    </row>
    <row r="16">
      <c r="A16" s="5" t="inlineStr">
        <is>
          <t>Total units</t>
        </is>
      </c>
      <c r="B16" s="7">
        <f>D13</f>
        <v/>
      </c>
    </row>
    <row r="17">
      <c r="A17" s="5" t="inlineStr">
        <is>
          <t>Occupied units</t>
        </is>
      </c>
      <c r="B17" s="7" t="n">
        <v>21</v>
      </c>
    </row>
    <row r="18">
      <c r="A18" s="5" t="inlineStr">
        <is>
          <t>Vacant units</t>
        </is>
      </c>
      <c r="B18" s="7" t="n">
        <v>3</v>
      </c>
    </row>
    <row r="19">
      <c r="A19" s="5" t="inlineStr">
        <is>
          <t>Non-revenue units</t>
        </is>
      </c>
      <c r="B19" s="7" t="n">
        <v>0</v>
      </c>
      <c r="C19" s="6" t="inlineStr">
        <is>
          <t>Models and down units: in the stock, in neither occupancy bucket.</t>
        </is>
      </c>
    </row>
    <row r="20">
      <c r="A20" s="5" t="inlineStr">
        <is>
          <t>Occupancy</t>
        </is>
      </c>
      <c r="B20" s="11">
        <f>IFERROR(B17/B16,"")</f>
        <v/>
      </c>
    </row>
    <row r="21">
      <c r="A21" s="5" t="inlineStr">
        <is>
          <t>Vacancy</t>
        </is>
      </c>
      <c r="B21" s="11">
        <f>IFERROR(1-B17/B16,"")</f>
        <v/>
      </c>
      <c r="C21" s="6" t="inlineStr">
        <is>
          <t>The physical-vacancy input a model consumes.</t>
        </is>
      </c>
    </row>
    <row r="23">
      <c r="A23" s="4" t="inlineStr">
        <is>
          <t>Annualised turnover rate</t>
        </is>
      </c>
      <c r="B23" s="4" t="n"/>
      <c r="C23" s="4" t="n"/>
    </row>
    <row r="24">
      <c r="A24" s="5" t="inlineStr">
        <is>
          <t>Annualised turnover</t>
        </is>
      </c>
      <c r="B24" s="11" t="n">
        <v>0.4583333333333333</v>
      </c>
      <c r="C24" s="6" t="inlineStr">
        <is>
          <t>Move-ins in the trailing 12 months, annualised against unit count.</t>
        </is>
      </c>
    </row>
    <row r="26">
      <c r="A26" s="4" t="inlineStr">
        <is>
          <t>New move-ins</t>
        </is>
      </c>
      <c r="B26" s="4" t="n"/>
      <c r="C26" s="4" t="n"/>
    </row>
    <row r="27">
      <c r="A27" s="5" t="inlineStr">
        <is>
          <t>Move-ins in window</t>
        </is>
      </c>
      <c r="B27" s="7" t="n">
        <v>11</v>
      </c>
      <c r="C27" s="6" t="inlineStr">
        <is>
          <t>Counted by MOVE-IN date, never by lease start — a renewal stamps a fresh lease start against a resident who moved in years ago.</t>
        </is>
      </c>
    </row>
    <row r="28">
      <c r="A28" s="5" t="inlineStr">
        <is>
          <t>Window (months)</t>
        </is>
      </c>
      <c r="B28" s="7" t="n">
        <v>12</v>
      </c>
    </row>
    <row r="29">
      <c r="A29" s="5" t="inlineStr">
        <is>
          <t>Share of units</t>
        </is>
      </c>
      <c r="B29" s="11" t="n">
        <v>0.4583333333333333</v>
      </c>
    </row>
    <row r="31">
      <c r="A31" s="4" t="inlineStr">
        <is>
          <t>Notes</t>
        </is>
      </c>
      <c r="B31" s="4" t="n"/>
      <c r="C31" s="4" t="n"/>
    </row>
    <row r="32" ht="46" customHeight="1">
      <c r="A32" s="28" t="inlineStr">
        <is>
          <t>Market rent for model is the NEW MOVE-IN rent — residents whose move-in date falls inside the lookback window, whatever their lease type — where the plan has one, and the in-place average otherwise; the Basis column says which, per plan; a roll with no usable lease start or move-in date reads in-place outright. LEASES SIGNED is every classified lease started in the window, new and renewal together, and is shown for context only: a blend of new and renewal rents is a renewal average wearing a market-rent label, and on a stabilised property renewals outnumber new leases roughly three to two over twelve months.</t>
        </is>
      </c>
    </row>
    <row r="33" ht="32" customHeight="1">
      <c r="A33" s="28" t="inlineStr">
        <is>
          <t>The signed and move-in rents, their counts and market rent for model are values rather than formulas on purpose: they depend on the window above, and a formula would re-window itself the day this file is reopened. Unit count, average SF and in-place rent are live formulas over the Rent Roll tab.</t>
        </is>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38" customWidth="1" min="1" max="1"/>
    <col width="18" customWidth="1" min="2" max="2"/>
    <col width="18" customWidth="1" min="3" max="3"/>
    <col width="16" customWidth="1" min="4" max="4"/>
    <col width="14" customWidth="1" min="5" max="5"/>
    <col width="52" customWidth="1" min="6" max="6"/>
  </cols>
  <sheetData>
    <row r="1">
      <c r="A1" s="1" t="inlineStr">
        <is>
          <t>Rent roll audit trail</t>
        </is>
      </c>
    </row>
    <row r="2">
      <c r="A2" s="2" t="inlineStr">
        <is>
          <t>Wildflower Crossing — as of 2025-11-12</t>
        </is>
      </c>
    </row>
    <row r="3">
      <c r="A3" s="2" t="inlineStr">
        <is>
          <t>AI Underwriting Pipeline — Sample Outputs</t>
        </is>
      </c>
    </row>
    <row r="4">
      <c r="A4" s="3" t="n"/>
      <c r="B4" s="3" t="n"/>
      <c r="C4" s="3" t="n"/>
      <c r="D4" s="3" t="n"/>
      <c r="E4" s="3" t="n"/>
      <c r="F4" s="3" t="n"/>
      <c r="G4" s="3" t="n"/>
      <c r="H4" s="3" t="n"/>
    </row>
    <row r="5">
      <c r="A5" s="4" t="inlineStr">
        <is>
          <t>Reconciliation</t>
        </is>
      </c>
      <c r="B5" s="4" t="n"/>
      <c r="C5" s="4" t="n"/>
      <c r="D5" s="4" t="n"/>
      <c r="E5" s="4" t="n"/>
      <c r="F5" s="4" t="n"/>
    </row>
    <row r="6">
      <c r="A6" s="29" t="inlineStr">
        <is>
          <t>Verdict</t>
        </is>
      </c>
      <c r="B6" s="29" t="inlineStr">
        <is>
          <t>NOT CHECKED</t>
        </is>
      </c>
      <c r="C6" s="29" t="inlineStr">
        <is>
          <t>Units off by</t>
        </is>
      </c>
      <c r="D6" s="13" t="n"/>
      <c r="E6" s="29" t="inlineStr">
        <is>
          <t>Market rent off by</t>
        </is>
      </c>
      <c r="F6" s="13" t="n"/>
    </row>
    <row r="7">
      <c r="A7" s="2" t="inlineStr">
        <is>
          <t>Unit count (tolerance 0) and the export's stated market-rent total (tolerance $1), plus every duplicate row retaining the in-place lease and no rent-readback mismatch. FAIL on any; NOT CHECKED when the export states no count or no total to tie to; PASS only when everything ran and tied.</t>
        </is>
      </c>
    </row>
    <row r="9">
      <c r="A9" s="4" t="inlineStr">
        <is>
          <t>Rent-roll tie-outs</t>
        </is>
      </c>
      <c r="B9" s="4" t="n"/>
      <c r="C9" s="4" t="n"/>
      <c r="D9" s="4" t="n"/>
      <c r="E9" s="4" t="n"/>
      <c r="F9" s="4" t="n"/>
    </row>
    <row r="10">
      <c r="A10" s="14" t="inlineStr">
        <is>
          <t>Check</t>
        </is>
      </c>
      <c r="B10" s="14" t="inlineStr">
        <is>
          <t>Our calc</t>
        </is>
      </c>
      <c r="C10" s="14" t="inlineStr">
        <is>
          <t>Source</t>
        </is>
      </c>
      <c r="D10" s="14" t="inlineStr">
        <is>
          <t>Difference</t>
        </is>
      </c>
      <c r="E10" s="14" t="inlineStr">
        <is>
          <t>Status</t>
        </is>
      </c>
      <c r="F10" s="14" t="inlineStr">
        <is>
          <t>Note</t>
        </is>
      </c>
    </row>
    <row r="11">
      <c r="A11" s="5" t="inlineStr">
        <is>
          <t>Total units</t>
        </is>
      </c>
      <c r="B11" s="7" t="n">
        <v>24</v>
      </c>
      <c r="C11" s="12" t="n"/>
      <c r="D11" s="12" t="n"/>
      <c r="E11" s="5" t="inlineStr">
        <is>
          <t>NOT CHECKED</t>
        </is>
      </c>
      <c r="F11" s="23" t="inlineStr">
        <is>
          <t>Unit count after de-duplicating rows for units listed twice mid-turnover.</t>
        </is>
      </c>
    </row>
    <row r="12">
      <c r="A12" s="5" t="inlineStr">
        <is>
          <t>Total square feet</t>
        </is>
      </c>
      <c r="B12" s="7" t="n">
        <v>35000</v>
      </c>
      <c r="C12" s="12" t="n"/>
      <c r="D12" s="12" t="n"/>
      <c r="E12" s="5" t="inlineStr">
        <is>
          <t>NOT CHECKED</t>
        </is>
      </c>
      <c r="F12" s="23" t="inlineStr">
        <is>
          <t>This project's own addition — the operator's rent-roll skill has no square-footage tie-out. It earns its place because square footage is what the de-duplication is checked against: dropping the wrong duplicate row changes the total.</t>
        </is>
      </c>
    </row>
    <row r="13">
      <c r="A13" s="5" t="inlineStr">
        <is>
          <t>Occupied units (physical)</t>
        </is>
      </c>
      <c r="B13" s="7" t="n">
        <v>21</v>
      </c>
      <c r="C13" s="12" t="n"/>
      <c r="D13" s="12" t="n"/>
      <c r="E13" s="5" t="inlineStr">
        <is>
          <t>NOT CHECKED</t>
        </is>
      </c>
      <c r="F13" s="23" t="inlineStr">
        <is>
          <t>The source states no per-status unit table, so physical occupancy cannot be tied to it.</t>
        </is>
      </c>
    </row>
    <row r="14">
      <c r="A14" s="5" t="inlineStr">
        <is>
          <t>Occupancy</t>
        </is>
      </c>
      <c r="B14" s="11" t="n">
        <v>0.875</v>
      </c>
      <c r="C14" s="12" t="n"/>
      <c r="D14" s="12" t="n"/>
      <c r="E14" s="5" t="inlineStr">
        <is>
          <t>NOT CHECKED</t>
        </is>
      </c>
      <c r="F14" s="23" t="inlineStr">
        <is>
          <t>PHYSICAL occupancy: 21 of 24 units. Residents on notice count as occupied; down, model and employee units do not. Economic occupancy is a different number and is not this one.</t>
        </is>
      </c>
    </row>
    <row r="15">
      <c r="A15" s="5" t="inlineStr">
        <is>
          <t>Market rent (monthly total)</t>
        </is>
      </c>
      <c r="B15" s="7" t="n">
        <v>60280</v>
      </c>
      <c r="C15" s="12" t="n"/>
      <c r="D15" s="12" t="n"/>
      <c r="E15" s="5" t="inlineStr">
        <is>
          <t>NOT CHECKED</t>
        </is>
      </c>
      <c r="F15" s="23" t="inlineStr">
        <is>
          <t>Validates row COMPLETENESS — 24 units counted once each, none dropped or double-counted. No unit is listed twice here, so there is no row choice to make.</t>
        </is>
      </c>
    </row>
    <row r="16">
      <c r="A16" s="5" t="inlineStr">
        <is>
          <t>In-place rent (monthly total)</t>
        </is>
      </c>
      <c r="B16" s="7" t="n">
        <v>51590</v>
      </c>
      <c r="C16" s="12" t="n"/>
      <c r="D16" s="12" t="n"/>
      <c r="E16" s="5" t="inlineStr">
        <is>
          <t>INFO</t>
        </is>
      </c>
      <c r="F16" s="23" t="inlineStr">
        <is>
          <t>The export states no current-rent total.</t>
        </is>
      </c>
    </row>
    <row r="17">
      <c r="A17" s="5" t="inlineStr">
        <is>
          <t>Duplicate rows: kept the in-place lease</t>
        </is>
      </c>
      <c r="B17" s="12" t="n"/>
      <c r="C17" s="12" t="n"/>
      <c r="D17" s="12" t="n"/>
      <c r="E17" s="5" t="inlineStr">
        <is>
          <t>NOT CHECKED</t>
        </is>
      </c>
      <c r="F17" s="23" t="inlineStr">
        <is>
          <t>The export lists no unit twice, so there is no row choice to make.</t>
        </is>
      </c>
    </row>
    <row r="18">
      <c r="A18" s="5" t="inlineStr">
        <is>
          <t>Occupied units</t>
        </is>
      </c>
      <c r="B18" s="7" t="n">
        <v>21</v>
      </c>
      <c r="C18" s="12" t="n"/>
      <c r="D18" s="12" t="n"/>
      <c r="E18" s="5" t="inlineStr">
        <is>
          <t>INFO</t>
        </is>
      </c>
      <c r="F18" s="23" t="inlineStr">
        <is>
          <t>The numerator above, stated separately so the ratio can be re-derived.</t>
        </is>
      </c>
    </row>
    <row r="20">
      <c r="A20" s="13" t="inlineStr">
        <is>
          <t>0/6 tie-outs OK; 6 NOT CHECKED</t>
        </is>
      </c>
    </row>
    <row r="21">
      <c r="A21" s="2" t="inlineStr">
        <is>
          <t>A total the source export never printed reads NOT CHECKED and stays in the denominator above — excluding it would let a check that could not run flatter the ratio. Occupancy here is PHYSICAL: 21/24 units, physical. Down, model and employee units count as vacant.</t>
        </is>
      </c>
    </row>
    <row r="23">
      <c r="A23" s="4" t="inlineStr">
        <is>
          <t>Duplicate rows — 0 unit(s) listed twice</t>
        </is>
      </c>
      <c r="B23" s="4" t="n"/>
      <c r="C23" s="4" t="n"/>
      <c r="D23" s="4" t="n"/>
      <c r="E23" s="4" t="n"/>
      <c r="F23" s="4" t="n"/>
    </row>
    <row r="24">
      <c r="A24" s="2" t="inlineStr">
        <is>
          <t>The export lists no unit twice.</t>
        </is>
      </c>
    </row>
    <row r="26">
      <c r="A26" s="4" t="inlineStr">
        <is>
          <t>Rent readback — 10 units, sampled reproducibly</t>
        </is>
      </c>
      <c r="B26" s="4" t="n"/>
      <c r="C26" s="4" t="n"/>
      <c r="D26" s="4" t="n"/>
      <c r="E26" s="4" t="n"/>
      <c r="F26" s="4" t="n"/>
    </row>
    <row r="27">
      <c r="A27" s="14" t="inlineStr">
        <is>
          <t>Unit</t>
        </is>
      </c>
      <c r="B27" s="14" t="inlineStr">
        <is>
          <t>Plan</t>
        </is>
      </c>
      <c r="C27" s="14" t="inlineStr">
        <is>
          <t>Our in-place rent</t>
        </is>
      </c>
      <c r="D27" s="14" t="inlineStr">
        <is>
          <t>Source cell value</t>
        </is>
      </c>
      <c r="E27" s="14" t="inlineStr">
        <is>
          <t>Source locator</t>
        </is>
      </c>
      <c r="F27" s="14" t="inlineStr">
        <is>
          <t>Status</t>
        </is>
      </c>
    </row>
    <row r="28">
      <c r="A28" s="5" t="inlineStr">
        <is>
          <t>102</t>
        </is>
      </c>
      <c r="B28" s="5" t="inlineStr">
        <is>
          <t>B2</t>
        </is>
      </c>
      <c r="C28" s="7" t="n">
        <v>2425</v>
      </c>
      <c r="D28" s="7" t="n">
        <v>2425</v>
      </c>
      <c r="E28" s="5" t="inlineStr">
        <is>
          <t>RENTROLL!J5</t>
        </is>
      </c>
      <c r="F28" s="5" t="inlineStr">
        <is>
          <t>OK</t>
        </is>
      </c>
    </row>
    <row r="29">
      <c r="A29" s="5" t="inlineStr">
        <is>
          <t>103</t>
        </is>
      </c>
      <c r="B29" s="5" t="inlineStr">
        <is>
          <t>C3</t>
        </is>
      </c>
      <c r="C29" s="7" t="n">
        <v>2855</v>
      </c>
      <c r="D29" s="7" t="n">
        <v>2855</v>
      </c>
      <c r="E29" s="5" t="inlineStr">
        <is>
          <t>RENTROLL!J6</t>
        </is>
      </c>
      <c r="F29" s="5" t="inlineStr">
        <is>
          <t>OK</t>
        </is>
      </c>
    </row>
    <row r="30">
      <c r="A30" s="5" t="inlineStr">
        <is>
          <t>105</t>
        </is>
      </c>
      <c r="B30" s="5" t="inlineStr">
        <is>
          <t>B2</t>
        </is>
      </c>
      <c r="C30" s="7" t="n">
        <v>2425</v>
      </c>
      <c r="D30" s="7" t="n">
        <v>2425</v>
      </c>
      <c r="E30" s="5" t="inlineStr">
        <is>
          <t>RENTROLL!J8</t>
        </is>
      </c>
      <c r="F30" s="5" t="inlineStr">
        <is>
          <t>OK</t>
        </is>
      </c>
    </row>
    <row r="31">
      <c r="A31" s="5" t="inlineStr">
        <is>
          <t>107</t>
        </is>
      </c>
      <c r="B31" s="5" t="inlineStr">
        <is>
          <t>A1</t>
        </is>
      </c>
      <c r="C31" s="7" t="n">
        <v>2090</v>
      </c>
      <c r="D31" s="7" t="n">
        <v>2090</v>
      </c>
      <c r="E31" s="5" t="inlineStr">
        <is>
          <t>RENTROLL!J10</t>
        </is>
      </c>
      <c r="F31" s="5" t="inlineStr">
        <is>
          <t>OK</t>
        </is>
      </c>
    </row>
    <row r="32">
      <c r="A32" s="5" t="inlineStr">
        <is>
          <t>109</t>
        </is>
      </c>
      <c r="B32" s="5" t="inlineStr">
        <is>
          <t>C3</t>
        </is>
      </c>
      <c r="C32" s="7" t="n">
        <v>2855</v>
      </c>
      <c r="D32" s="7" t="n">
        <v>2855</v>
      </c>
      <c r="E32" s="5" t="inlineStr">
        <is>
          <t>RENTROLL!J12</t>
        </is>
      </c>
      <c r="F32" s="5" t="inlineStr">
        <is>
          <t>OK</t>
        </is>
      </c>
    </row>
    <row r="33">
      <c r="A33" s="5" t="inlineStr">
        <is>
          <t>113</t>
        </is>
      </c>
      <c r="B33" s="5" t="inlineStr">
        <is>
          <t>A1</t>
        </is>
      </c>
      <c r="C33" s="7" t="n">
        <v>2090</v>
      </c>
      <c r="D33" s="7" t="n">
        <v>2090</v>
      </c>
      <c r="E33" s="5" t="inlineStr">
        <is>
          <t>RENTROLL!J16</t>
        </is>
      </c>
      <c r="F33" s="5" t="inlineStr">
        <is>
          <t>OK</t>
        </is>
      </c>
    </row>
    <row r="34">
      <c r="A34" s="5" t="inlineStr">
        <is>
          <t>115</t>
        </is>
      </c>
      <c r="B34" s="5" t="inlineStr">
        <is>
          <t>C3</t>
        </is>
      </c>
      <c r="C34" s="7" t="n">
        <v>2855</v>
      </c>
      <c r="D34" s="7" t="n">
        <v>2855</v>
      </c>
      <c r="E34" s="5" t="inlineStr">
        <is>
          <t>RENTROLL!J18</t>
        </is>
      </c>
      <c r="F34" s="5" t="inlineStr">
        <is>
          <t>OK</t>
        </is>
      </c>
    </row>
    <row r="35">
      <c r="A35" s="5" t="inlineStr">
        <is>
          <t>116</t>
        </is>
      </c>
      <c r="B35" s="5" t="inlineStr">
        <is>
          <t>A1</t>
        </is>
      </c>
      <c r="C35" s="7" t="n">
        <v>2090</v>
      </c>
      <c r="D35" s="7" t="n">
        <v>2090</v>
      </c>
      <c r="E35" s="5" t="inlineStr">
        <is>
          <t>RENTROLL!J19</t>
        </is>
      </c>
      <c r="F35" s="5" t="inlineStr">
        <is>
          <t>OK</t>
        </is>
      </c>
    </row>
    <row r="36">
      <c r="A36" s="5" t="inlineStr">
        <is>
          <t>118</t>
        </is>
      </c>
      <c r="B36" s="5" t="inlineStr">
        <is>
          <t>C3</t>
        </is>
      </c>
      <c r="C36" s="7" t="n">
        <v>2855</v>
      </c>
      <c r="D36" s="7" t="n">
        <v>2855</v>
      </c>
      <c r="E36" s="5" t="inlineStr">
        <is>
          <t>RENTROLL!J21</t>
        </is>
      </c>
      <c r="F36" s="5" t="inlineStr">
        <is>
          <t>OK</t>
        </is>
      </c>
    </row>
    <row r="37">
      <c r="A37" s="5" t="inlineStr">
        <is>
          <t>123</t>
        </is>
      </c>
      <c r="B37" s="5" t="inlineStr">
        <is>
          <t>B2</t>
        </is>
      </c>
      <c r="C37" s="7" t="n">
        <v>2425</v>
      </c>
      <c r="D37" s="7" t="n">
        <v>2425</v>
      </c>
      <c r="E37" s="5" t="inlineStr">
        <is>
          <t>RENTROLL!J26</t>
        </is>
      </c>
      <c r="F37" s="5" t="inlineStr">
        <is>
          <t>OK</t>
        </is>
      </c>
    </row>
    <row r="39">
      <c r="A39" s="13" t="inlineStr">
        <is>
          <t>10 of 10 match within $0.50. Sample seeded from the roll's as-of date (2025-11-12|24), so the same roll always checks the same units and a reviewer re-running this sees these rows.</t>
        </is>
      </c>
    </row>
    <row r="40" ht="34" customHeight="1">
      <c r="A40" s="6" t="inlineStr">
        <is>
          <t>Both sides of the readback read the same rent column, so it validates TRANSCRIPTION — that the number was carried across correctly — and cannot detect the wrong column having been chosen in the first place. The column choice is evidenced in the audit trail instead.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40"/>
  <sheetViews>
    <sheetView workbookViewId="0">
      <pane ySplit="10" topLeftCell="A11" activePane="bottomLeft" state="frozen"/>
      <selection pane="bottomLeft" activeCell="A1" sqref="A1"/>
    </sheetView>
  </sheetViews>
  <sheetFormatPr baseColWidth="8" defaultRowHeight="15"/>
  <cols>
    <col width="22" customWidth="1" min="1" max="1"/>
    <col width="30" customWidth="1" min="2" max="2"/>
    <col width="11" customWidth="1" min="3" max="3"/>
    <col width="62" customWidth="1" min="4" max="4"/>
    <col width="32" customWidth="1" min="5" max="5"/>
    <col width="38" customWidth="1" min="6" max="6"/>
    <col width="34" customWidth="1" min="7" max="7"/>
    <col width="30" customWidth="1" min="8" max="8"/>
  </cols>
  <sheetData>
    <row r="1">
      <c r="A1" s="1" t="inlineStr">
        <is>
          <t>AI Underwriting Pipeline — Sample Outputs</t>
        </is>
      </c>
    </row>
    <row r="2">
      <c r="A2" s="13" t="inlineStr">
        <is>
          <t>Model-ready outputs — field manifest</t>
        </is>
      </c>
    </row>
    <row r="4" ht="46" customHeight="1">
      <c r="A4" s="13" t="inlineStr">
        <is>
          <t>What this is</t>
        </is>
      </c>
      <c r="B4" s="28" t="inlineStr">
        <is>
          <t>These are the values the pipeline extracts from a deal's raw documents and hands to your model. It does not build a model — every shop already has one, and theirs is the one their committee trusts. The work worth automating is filling it in correctly.</t>
        </is>
      </c>
    </row>
    <row r="5" ht="46" customHeight="1">
      <c r="A5" s="13" t="inlineStr">
        <is>
          <t>What it excludes</t>
        </is>
      </c>
      <c r="B5" s="28" t="inlineStr">
        <is>
          <t>Comps come only from an operator's own weekly rent scrape. Licensed and subscription data sources are excluded by design, so a field one of them would have filled reads MISSING rather than being quietly sourced elsewhere. Every price and cap rate in the sample is illustrative.</t>
        </is>
      </c>
    </row>
    <row r="6">
      <c r="A6" s="13" t="inlineStr">
        <is>
          <t>Fields listed</t>
        </is>
      </c>
      <c r="B6" t="n">
        <v>210</v>
      </c>
    </row>
    <row r="7">
      <c r="A7" s="13" t="inlineStr">
        <is>
          <t>Generated</t>
        </is>
      </c>
      <c r="B7" t="inlineStr">
        <is>
          <t>2026-10-21</t>
        </is>
      </c>
    </row>
    <row r="8">
      <c r="A8" s="13" t="inlineStr">
        <is>
          <t>Example column</t>
        </is>
      </c>
      <c r="B8" s="28" t="inlineStr">
        <is>
          <t>From "Wildflower Crossing". Pricing is illustrative; see the deal summary for the boundary note.</t>
        </is>
      </c>
    </row>
    <row r="10">
      <c r="A10" s="14" t="inlineStr">
        <is>
          <t>Group</t>
        </is>
      </c>
      <c r="B10" s="14" t="inlineStr">
        <is>
          <t>Field</t>
        </is>
      </c>
      <c r="C10" s="14" t="inlineStr">
        <is>
          <t>Type</t>
        </is>
      </c>
      <c r="D10" s="14" t="inlineStr">
        <is>
          <t>Definition</t>
        </is>
      </c>
      <c r="E10" s="14" t="inlineStr">
        <is>
          <t>Source document</t>
        </is>
      </c>
      <c r="F10" s="14" t="inlineStr">
        <is>
          <t>Typically fills (client model input)</t>
        </is>
      </c>
      <c r="G10" s="14" t="inlineStr">
        <is>
          <t>Public demo</t>
        </is>
      </c>
      <c r="H10" s="14" t="inlineStr">
        <is>
          <t>Example (demo deal)</t>
        </is>
      </c>
    </row>
    <row r="11">
      <c r="A11" s="4" t="inlineStr">
        <is>
          <t>Meta</t>
        </is>
      </c>
      <c r="B11" s="4" t="n"/>
      <c r="C11" s="4" t="n"/>
      <c r="D11" s="4" t="n"/>
      <c r="E11" s="4" t="n"/>
      <c r="F11" s="4" t="n"/>
      <c r="G11" s="4" t="n"/>
      <c r="H11" s="4" t="n"/>
    </row>
    <row r="12">
      <c r="A12" s="5" t="inlineStr">
        <is>
          <t>Meta</t>
        </is>
      </c>
      <c r="B12" s="5" t="inlineStr">
        <is>
          <t>toolkit_name</t>
        </is>
      </c>
      <c r="C12" s="5" t="inlineStr">
        <is>
          <t>text</t>
        </is>
      </c>
      <c r="D12" s="23" t="inlineStr">
        <is>
          <t>Name of the toolkit that produced the outputs.</t>
        </is>
      </c>
      <c r="E12" s="5" t="inlineStr">
        <is>
          <t>Derived by the pipeline</t>
        </is>
      </c>
      <c r="F12" s="23" t="inlineStr">
        <is>
          <t>Reference only — not a model input</t>
        </is>
      </c>
      <c r="G12" s="23" t="inlineStr">
        <is>
          <t>yes</t>
        </is>
      </c>
      <c r="H12" s="23" t="inlineStr">
        <is>
          <t>AI Underwriting Pipeline — Sample Outputs</t>
        </is>
      </c>
    </row>
    <row r="13">
      <c r="A13" s="5" t="inlineStr">
        <is>
          <t>Meta</t>
        </is>
      </c>
      <c r="B13" s="5" t="inlineStr">
        <is>
          <t>deal_name</t>
        </is>
      </c>
      <c r="C13" s="5" t="inlineStr">
        <is>
          <t>text</t>
        </is>
      </c>
      <c r="D13" s="23" t="inlineStr">
        <is>
          <t>Deal name used on every output.</t>
        </is>
      </c>
      <c r="E13" s="5" t="inlineStr">
        <is>
          <t>Offering memorandum / marketing package</t>
        </is>
      </c>
      <c r="F13" s="23" t="inlineStr">
        <is>
          <t>Model cover / deal header</t>
        </is>
      </c>
      <c r="G13" s="23" t="inlineStr">
        <is>
          <t>yes</t>
        </is>
      </c>
      <c r="H13" s="23" t="inlineStr">
        <is>
          <t>Wildflower Crossing</t>
        </is>
      </c>
    </row>
    <row r="14">
      <c r="A14" s="5" t="inlineStr">
        <is>
          <t>Meta</t>
        </is>
      </c>
      <c r="B14" s="5" t="inlineStr">
        <is>
          <t>generated_on</t>
        </is>
      </c>
      <c r="C14" s="5" t="inlineStr">
        <is>
          <t>date</t>
        </is>
      </c>
      <c r="D14" s="23" t="inlineStr">
        <is>
          <t>Date the output set was produced.</t>
        </is>
      </c>
      <c r="E14" s="5" t="inlineStr">
        <is>
          <t>Derived by the pipeline</t>
        </is>
      </c>
      <c r="F14" s="23" t="inlineStr">
        <is>
          <t>Model cover date</t>
        </is>
      </c>
      <c r="G14" s="23" t="inlineStr">
        <is>
          <t>yes</t>
        </is>
      </c>
      <c r="H14" s="23" t="inlineStr">
        <is>
          <t>2026-10-21</t>
        </is>
      </c>
    </row>
    <row r="15">
      <c r="A15" s="5" t="inlineStr">
        <is>
          <t>Meta</t>
        </is>
      </c>
      <c r="B15" s="5" t="inlineStr">
        <is>
          <t>as_of_date</t>
        </is>
      </c>
      <c r="C15" s="5" t="inlineStr">
        <is>
          <t>date</t>
        </is>
      </c>
      <c r="D15" s="23" t="inlineStr">
        <is>
          <t>As-of date the financials and roll describe. Every window is measured from this date, never from today.</t>
        </is>
      </c>
      <c r="E15" s="5" t="inlineStr">
        <is>
          <t>Trailing-twelve-month income statement</t>
        </is>
      </c>
      <c r="F15" s="23" t="inlineStr">
        <is>
          <t>Model as-of / analysis date</t>
        </is>
      </c>
      <c r="G15" s="23" t="inlineStr">
        <is>
          <t>yes</t>
        </is>
      </c>
      <c r="H15" s="23" t="inlineStr">
        <is>
          <t>2025-11-12</t>
        </is>
      </c>
    </row>
    <row r="16">
      <c r="A16" s="5" t="inlineStr">
        <is>
          <t>Meta</t>
        </is>
      </c>
      <c r="B16" s="5" t="inlineStr">
        <is>
          <t>illustrative_pricing</t>
        </is>
      </c>
      <c r="C16" s="5" t="inlineStr">
        <is>
          <t>boolean</t>
        </is>
      </c>
      <c r="D16" s="23" t="inlineStr">
        <is>
          <t>True when every price and cap rate on the output is illustrative rather than a real quote.</t>
        </is>
      </c>
      <c r="E16" s="5" t="inlineStr">
        <is>
          <t>Derived by the pipeline</t>
        </is>
      </c>
      <c r="F16" s="23" t="inlineStr">
        <is>
          <t>Reference only — not a model input</t>
        </is>
      </c>
      <c r="G16" s="23" t="inlineStr">
        <is>
          <t>yes</t>
        </is>
      </c>
      <c r="H16" s="23" t="inlineStr">
        <is>
          <t>no</t>
        </is>
      </c>
    </row>
    <row r="17">
      <c r="A17" s="5" t="inlineStr">
        <is>
          <t>Meta</t>
        </is>
      </c>
      <c r="B17" s="5" t="inlineStr">
        <is>
          <t>pricing_note</t>
        </is>
      </c>
      <c r="C17" s="5" t="inlineStr">
        <is>
          <t>text</t>
        </is>
      </c>
      <c r="D17" s="23" t="inlineStr">
        <is>
          <t>One line stating where the pricing figure came from and that it is illustrative.</t>
        </is>
      </c>
      <c r="E17" s="5" t="inlineStr">
        <is>
          <t>Derived by the pipeline</t>
        </is>
      </c>
      <c r="F17" s="23" t="inlineStr">
        <is>
          <t>Reference only — not a model input</t>
        </is>
      </c>
      <c r="G17" s="23" t="inlineStr">
        <is>
          <t>yes</t>
        </is>
      </c>
      <c r="H17" s="23" t="inlineStr">
        <is>
          <t>Pricing is as stated in the uploaded documents or the notes box, not a market opinion.</t>
        </is>
      </c>
    </row>
    <row r="18">
      <c r="A18" s="5" t="inlineStr">
        <is>
          <t>Meta</t>
        </is>
      </c>
      <c r="B18" s="5" t="inlineStr">
        <is>
          <t>synthetic</t>
        </is>
      </c>
      <c r="C18" s="5" t="inlineStr">
        <is>
          <t>boolean</t>
        </is>
      </c>
      <c r="D18" s="23" t="inlineStr">
        <is>
          <t>True when the deal is entirely fabricated for demonstration.</t>
        </is>
      </c>
      <c r="E18" s="5" t="inlineStr">
        <is>
          <t>Derived by the pipeline</t>
        </is>
      </c>
      <c r="F18" s="23" t="inlineStr">
        <is>
          <t>Reference only — not a model input</t>
        </is>
      </c>
      <c r="G18" s="23" t="inlineStr">
        <is>
          <t>yes</t>
        </is>
      </c>
      <c r="H18" s="23" t="inlineStr">
        <is>
          <t>no</t>
        </is>
      </c>
    </row>
    <row r="19">
      <c r="A19" s="5" t="inlineStr">
        <is>
          <t>Meta</t>
        </is>
      </c>
      <c r="B19" s="5" t="inlineStr">
        <is>
          <t>provenance</t>
        </is>
      </c>
      <c r="C19" s="5" t="inlineStr">
        <is>
          <t>list</t>
        </is>
      </c>
      <c r="D19" s="23" t="inlineStr">
        <is>
          <t>Per-document record of what was read and what it supplied.</t>
        </is>
      </c>
      <c r="E19" s="5" t="inlineStr">
        <is>
          <t>Derived by the pipeline</t>
        </is>
      </c>
      <c r="F19" s="23" t="inlineStr">
        <is>
          <t>Reference only — not a model input</t>
        </is>
      </c>
      <c r="G19" s="23" t="inlineStr">
        <is>
          <t>yes</t>
        </is>
      </c>
      <c r="H19" s="23" t="inlineStr">
        <is>
          <t>—</t>
        </is>
      </c>
    </row>
    <row r="20">
      <c r="A20" s="5" t="inlineStr">
        <is>
          <t>Meta</t>
        </is>
      </c>
      <c r="B20" s="5" t="inlineStr">
        <is>
          <t>excluded_sources</t>
        </is>
      </c>
      <c r="C20" s="5" t="inlineStr">
        <is>
          <t>list</t>
        </is>
      </c>
      <c r="D20" s="23" t="inlineStr">
        <is>
          <t>Data sources deliberately not used, so a reader knows what a MISSING field would have needed.</t>
        </is>
      </c>
      <c r="E20" s="5" t="inlineStr">
        <is>
          <t>Derived by the pipeline</t>
        </is>
      </c>
      <c r="F20" s="23" t="inlineStr">
        <is>
          <t>Reference only — not a model input</t>
        </is>
      </c>
      <c r="G20" s="23" t="inlineStr">
        <is>
          <t>yes</t>
        </is>
      </c>
      <c r="H20" s="23" t="inlineStr">
        <is>
          <t>—</t>
        </is>
      </c>
    </row>
    <row r="21">
      <c r="A21" s="4" t="inlineStr">
        <is>
          <t>Deal identification</t>
        </is>
      </c>
      <c r="B21" s="4" t="n"/>
      <c r="C21" s="4" t="n"/>
      <c r="D21" s="4" t="n"/>
      <c r="E21" s="4" t="n"/>
      <c r="F21" s="4" t="n"/>
      <c r="G21" s="4" t="n"/>
      <c r="H21" s="4" t="n"/>
    </row>
    <row r="22">
      <c r="A22" s="5" t="inlineStr">
        <is>
          <t>Deal identification</t>
        </is>
      </c>
      <c r="B22" s="5" t="inlineStr">
        <is>
          <t>street_address</t>
        </is>
      </c>
      <c r="C22" s="5" t="inlineStr">
        <is>
          <t>text</t>
        </is>
      </c>
      <c r="D22" s="23" t="inlineStr">
        <is>
          <t>Street address as resolved, not as printed in marketing.</t>
        </is>
      </c>
      <c r="E22" s="5" t="inlineStr">
        <is>
          <t>Offering memorandum / marketing package</t>
        </is>
      </c>
      <c r="F22" s="23" t="inlineStr">
        <is>
          <t>Property address</t>
        </is>
      </c>
      <c r="G22" s="23" t="inlineStr">
        <is>
          <t>yes</t>
        </is>
      </c>
      <c r="H22" s="23" t="inlineStr">
        <is>
          <t>100 Example Way</t>
        </is>
      </c>
    </row>
    <row r="23">
      <c r="A23" s="5" t="inlineStr">
        <is>
          <t>Deal identification</t>
        </is>
      </c>
      <c r="B23" s="5" t="inlineStr">
        <is>
          <t>city</t>
        </is>
      </c>
      <c r="C23" s="5" t="inlineStr">
        <is>
          <t>text</t>
        </is>
      </c>
      <c r="D23" s="23" t="inlineStr">
        <is>
          <t>City.</t>
        </is>
      </c>
      <c r="E23" s="5" t="inlineStr">
        <is>
          <t>Offering memorandum / marketing package</t>
        </is>
      </c>
      <c r="F23" s="23" t="inlineStr">
        <is>
          <t>Property address</t>
        </is>
      </c>
      <c r="G23" s="23" t="inlineStr">
        <is>
          <t>yes</t>
        </is>
      </c>
      <c r="H23" s="23" t="inlineStr">
        <is>
          <t>Mesa</t>
        </is>
      </c>
    </row>
    <row r="24">
      <c r="A24" s="5" t="inlineStr">
        <is>
          <t>Deal identification</t>
        </is>
      </c>
      <c r="B24" s="5" t="inlineStr">
        <is>
          <t>state</t>
        </is>
      </c>
      <c r="C24" s="5" t="inlineStr">
        <is>
          <t>text</t>
        </is>
      </c>
      <c r="D24" s="23" t="inlineStr">
        <is>
          <t>Two-letter state code. Drives the per-state tax divisor.</t>
        </is>
      </c>
      <c r="E24" s="5" t="inlineStr">
        <is>
          <t>Offering memorandum / marketing package</t>
        </is>
      </c>
      <c r="F24" s="23" t="inlineStr">
        <is>
          <t>Property address / tax logic</t>
        </is>
      </c>
      <c r="G24" s="23" t="inlineStr">
        <is>
          <t>yes</t>
        </is>
      </c>
      <c r="H24" s="23" t="inlineStr">
        <is>
          <t>AZ</t>
        </is>
      </c>
    </row>
    <row r="25">
      <c r="A25" s="5" t="inlineStr">
        <is>
          <t>Deal identification</t>
        </is>
      </c>
      <c r="B25" s="5" t="inlineStr">
        <is>
          <t>zip</t>
        </is>
      </c>
      <c r="C25" s="5" t="inlineStr">
        <is>
          <t>text</t>
        </is>
      </c>
      <c r="D25" s="23" t="inlineStr">
        <is>
          <t>ZIP code.</t>
        </is>
      </c>
      <c r="E25" s="5" t="inlineStr">
        <is>
          <t>Offering memorandum / marketing package</t>
        </is>
      </c>
      <c r="F25" s="23" t="inlineStr">
        <is>
          <t>Property address</t>
        </is>
      </c>
      <c r="G25" s="23" t="inlineStr">
        <is>
          <t>yes</t>
        </is>
      </c>
      <c r="H25" s="23" t="inlineStr">
        <is>
          <t>85204</t>
        </is>
      </c>
    </row>
    <row r="26">
      <c r="A26" s="5" t="inlineStr">
        <is>
          <t>Deal identification</t>
        </is>
      </c>
      <c r="B26" s="5" t="inlineStr">
        <is>
          <t>county</t>
        </is>
      </c>
      <c r="C26" s="5" t="inlineStr">
        <is>
          <t>text</t>
        </is>
      </c>
      <c r="D26" s="23" t="inlineStr">
        <is>
          <t>County. Determines which tax portal was queried.</t>
        </is>
      </c>
      <c r="E26" s="5" t="inlineStr">
        <is>
          <t>Offering memorandum / marketing package</t>
        </is>
      </c>
      <c r="F26" s="23" t="inlineStr">
        <is>
          <t>Tax jurisdiction</t>
        </is>
      </c>
      <c r="G26" s="23" t="inlineStr">
        <is>
          <t>yes</t>
        </is>
      </c>
      <c r="H26" s="23" t="inlineStr">
        <is>
          <t>Maricopa</t>
        </is>
      </c>
    </row>
    <row r="27">
      <c r="A27" s="5" t="inlineStr">
        <is>
          <t>Deal identification</t>
        </is>
      </c>
      <c r="B27" s="5" t="inlineStr">
        <is>
          <t>msa</t>
        </is>
      </c>
      <c r="C27" s="5" t="inlineStr">
        <is>
          <t>text</t>
        </is>
      </c>
      <c r="D27" s="23" t="inlineStr">
        <is>
          <t>Metropolitan statistical area.</t>
        </is>
      </c>
      <c r="E27" s="5" t="inlineStr">
        <is>
          <t>Derived by the pipeline</t>
        </is>
      </c>
      <c r="F27" s="23" t="inlineStr">
        <is>
          <t>Market label</t>
        </is>
      </c>
      <c r="G27" s="23" t="inlineStr">
        <is>
          <t>yes</t>
        </is>
      </c>
      <c r="H27" s="23" t="inlineStr">
        <is>
          <t>MISSING</t>
        </is>
      </c>
    </row>
    <row r="28">
      <c r="A28" s="5" t="inlineStr">
        <is>
          <t>Deal identification</t>
        </is>
      </c>
      <c r="B28" s="5" t="inlineStr">
        <is>
          <t>address_provenance</t>
        </is>
      </c>
      <c r="C28" s="5" t="inlineStr">
        <is>
          <t>text</t>
        </is>
      </c>
      <c r="D28" s="23" t="inlineStr">
        <is>
          <t>How the address was resolved and from which document — so a wrong address is traceable rather than mysterious.</t>
        </is>
      </c>
      <c r="E28" s="5" t="inlineStr">
        <is>
          <t>Derived by the pipeline</t>
        </is>
      </c>
      <c r="F28" s="23" t="inlineStr">
        <is>
          <t>Reference only — not a model input</t>
        </is>
      </c>
      <c r="G28" s="23" t="inlineStr">
        <is>
          <t>Internal pipeline only — The internal pipeline geocodes the address and records how it resolved; the demo takes the address as the memorandum states it.</t>
        </is>
      </c>
      <c r="H28" s="23" t="inlineStr">
        <is>
          <t>MISSING</t>
        </is>
      </c>
    </row>
    <row r="29">
      <c r="A29" s="4" t="inlineStr">
        <is>
          <t>Property</t>
        </is>
      </c>
      <c r="B29" s="4" t="n"/>
      <c r="C29" s="4" t="n"/>
      <c r="D29" s="4" t="n"/>
      <c r="E29" s="4" t="n"/>
      <c r="F29" s="4" t="n"/>
      <c r="G29" s="4" t="n"/>
      <c r="H29" s="4" t="n"/>
    </row>
    <row r="30">
      <c r="A30" s="5" t="inlineStr">
        <is>
          <t>Property</t>
        </is>
      </c>
      <c r="B30" s="5" t="inlineStr">
        <is>
          <t>product_type</t>
        </is>
      </c>
      <c r="C30" s="5" t="inlineStr">
        <is>
          <t>text</t>
        </is>
      </c>
      <c r="D30" s="23" t="inlineStr">
        <is>
          <t>SFD, TH, or MF. Selects which underwriting shape applies.</t>
        </is>
      </c>
      <c r="E30" s="5" t="inlineStr">
        <is>
          <t>Offering memorandum / marketing package</t>
        </is>
      </c>
      <c r="F30" s="23" t="inlineStr">
        <is>
          <t>Product type / deal mode</t>
        </is>
      </c>
      <c r="G30" s="23" t="inlineStr">
        <is>
          <t>yes</t>
        </is>
      </c>
      <c r="H30" s="23" t="inlineStr">
        <is>
          <t>build-for-rent</t>
        </is>
      </c>
    </row>
    <row r="31">
      <c r="A31" s="5" t="inlineStr">
        <is>
          <t>Property</t>
        </is>
      </c>
      <c r="B31" s="5" t="inlineStr">
        <is>
          <t>structure</t>
        </is>
      </c>
      <c r="C31" s="5" t="inlineStr">
        <is>
          <t>text</t>
        </is>
      </c>
      <c r="D31" s="23" t="inlineStr">
        <is>
          <t>Construction structure and stories.</t>
        </is>
      </c>
      <c r="E31" s="5" t="inlineStr">
        <is>
          <t>Offering memorandum / marketing package</t>
        </is>
      </c>
      <c r="F31" s="23" t="inlineStr">
        <is>
          <t>Property description</t>
        </is>
      </c>
      <c r="G31" s="23" t="inlineStr">
        <is>
          <t>yes</t>
        </is>
      </c>
      <c r="H31" s="23" t="inlineStr">
        <is>
          <t>MISSING</t>
        </is>
      </c>
    </row>
    <row r="32">
      <c r="A32" s="5" t="inlineStr">
        <is>
          <t>Property</t>
        </is>
      </c>
      <c r="B32" s="5" t="inlineStr">
        <is>
          <t>units_total</t>
        </is>
      </c>
      <c r="C32" s="5" t="inlineStr">
        <is>
          <t>integer</t>
        </is>
      </c>
      <c r="D32" s="23" t="inlineStr">
        <is>
          <t>Total units. Divisor for every per-unit figure in the output set.</t>
        </is>
      </c>
      <c r="E32" s="5" t="inlineStr">
        <is>
          <t>Offering memorandum / marketing package</t>
        </is>
      </c>
      <c r="F32" s="23" t="inlineStr">
        <is>
          <t>Unit count</t>
        </is>
      </c>
      <c r="G32" s="23" t="inlineStr">
        <is>
          <t>yes</t>
        </is>
      </c>
      <c r="H32" s="23" t="inlineStr">
        <is>
          <t>24</t>
        </is>
      </c>
    </row>
    <row r="33">
      <c r="A33" s="5" t="inlineStr">
        <is>
          <t>Property</t>
        </is>
      </c>
      <c r="B33" s="5" t="inlineStr">
        <is>
          <t>year_built</t>
        </is>
      </c>
      <c r="C33" s="5" t="inlineStr">
        <is>
          <t>integer</t>
        </is>
      </c>
      <c r="D33" s="23" t="inlineStr">
        <is>
          <t>Year built or year of first delivery.</t>
        </is>
      </c>
      <c r="E33" s="5" t="inlineStr">
        <is>
          <t>Offering memorandum / marketing package</t>
        </is>
      </c>
      <c r="F33" s="23" t="inlineStr">
        <is>
          <t>Year built</t>
        </is>
      </c>
      <c r="G33" s="23" t="inlineStr">
        <is>
          <t>yes</t>
        </is>
      </c>
      <c r="H33" s="23" t="inlineStr">
        <is>
          <t>2021</t>
        </is>
      </c>
    </row>
    <row r="34">
      <c r="A34" s="5" t="inlineStr">
        <is>
          <t>Property</t>
        </is>
      </c>
      <c r="B34" s="5" t="inlineStr">
        <is>
          <t>product_detail</t>
        </is>
      </c>
      <c r="C34" s="5" t="inlineStr">
        <is>
          <t>text</t>
        </is>
      </c>
      <c r="D34" s="23" t="inlineStr">
        <is>
          <t>Unit mix in prose — bedroom counts, square footage range, notable features.</t>
        </is>
      </c>
      <c r="E34" s="5" t="inlineStr">
        <is>
          <t>Offering memorandum / marketing package</t>
        </is>
      </c>
      <c r="F34" s="23" t="inlineStr">
        <is>
          <t>Property description</t>
        </is>
      </c>
      <c r="G34" s="23" t="inlineStr">
        <is>
          <t>yes</t>
        </is>
      </c>
      <c r="H34" s="23" t="inlineStr">
        <is>
          <t>MISSING</t>
        </is>
      </c>
    </row>
    <row r="35">
      <c r="A35" s="5" t="inlineStr">
        <is>
          <t>Property</t>
        </is>
      </c>
      <c r="B35" s="5" t="inlineStr">
        <is>
          <t>construction_status</t>
        </is>
      </c>
      <c r="C35" s="5" t="inlineStr">
        <is>
          <t>text</t>
        </is>
      </c>
      <c r="D35" s="23" t="inlineStr">
        <is>
          <t>Stabilized, in lease-up, or under construction.</t>
        </is>
      </c>
      <c r="E35" s="5" t="inlineStr">
        <is>
          <t>Offering memorandum / marketing package</t>
        </is>
      </c>
      <c r="F35" s="23" t="inlineStr">
        <is>
          <t>Deal mode (stabilized vs phased)</t>
        </is>
      </c>
      <c r="G35" s="23" t="inlineStr">
        <is>
          <t>yes</t>
        </is>
      </c>
      <c r="H35" s="23" t="inlineStr">
        <is>
          <t>MISSING</t>
        </is>
      </c>
    </row>
    <row r="36">
      <c r="A36" s="5" t="inlineStr">
        <is>
          <t>Property</t>
        </is>
      </c>
      <c r="B36" s="5" t="inlineStr">
        <is>
          <t>delivery_date</t>
        </is>
      </c>
      <c r="C36" s="5" t="inlineStr">
        <is>
          <t>text</t>
        </is>
      </c>
      <c r="D36" s="23" t="inlineStr">
        <is>
          <t>Certificate-of-occupancy or final-delivery date.</t>
        </is>
      </c>
      <c r="E36" s="5" t="inlineStr">
        <is>
          <t>Offering memorandum / marketing package</t>
        </is>
      </c>
      <c r="F36" s="23" t="inlineStr">
        <is>
          <t>Delivery / phasing schedule</t>
        </is>
      </c>
      <c r="G36" s="23" t="inlineStr">
        <is>
          <t>yes</t>
        </is>
      </c>
      <c r="H36" s="23" t="inlineStr">
        <is>
          <t>MISSING</t>
        </is>
      </c>
    </row>
    <row r="37">
      <c r="A37" s="4" t="inlineStr">
        <is>
          <t>Parties</t>
        </is>
      </c>
      <c r="B37" s="4" t="n"/>
      <c r="C37" s="4" t="n"/>
      <c r="D37" s="4" t="n"/>
      <c r="E37" s="4" t="n"/>
      <c r="F37" s="4" t="n"/>
      <c r="G37" s="4" t="n"/>
      <c r="H37" s="4" t="n"/>
    </row>
    <row r="38">
      <c r="A38" s="5" t="inlineStr">
        <is>
          <t>Parties</t>
        </is>
      </c>
      <c r="B38" s="5" t="inlineStr">
        <is>
          <t>seller_entity</t>
        </is>
      </c>
      <c r="C38" s="5" t="inlineStr">
        <is>
          <t>text</t>
        </is>
      </c>
      <c r="D38" s="23" t="inlineStr">
        <is>
          <t>Selling entity as named in the marketing package.</t>
        </is>
      </c>
      <c r="E38" s="5" t="inlineStr">
        <is>
          <t>Offering memorandum / marketing package</t>
        </is>
      </c>
      <c r="F38" s="23" t="inlineStr">
        <is>
          <t>Seller</t>
        </is>
      </c>
      <c r="G38" s="23" t="inlineStr">
        <is>
          <t>yes</t>
        </is>
      </c>
      <c r="H38" s="23" t="inlineStr">
        <is>
          <t>MISSING</t>
        </is>
      </c>
    </row>
    <row r="39">
      <c r="A39" s="5" t="inlineStr">
        <is>
          <t>Parties</t>
        </is>
      </c>
      <c r="B39" s="5" t="inlineStr">
        <is>
          <t>listing_brokerage</t>
        </is>
      </c>
      <c r="C39" s="5" t="inlineStr">
        <is>
          <t>text</t>
        </is>
      </c>
      <c r="D39" s="23" t="inlineStr">
        <is>
          <t>Listing brokerage, generically labeled. No firm or individual name appears in a published file.</t>
        </is>
      </c>
      <c r="E39" s="5" t="inlineStr">
        <is>
          <t>Offering memorandum / marketing package</t>
        </is>
      </c>
      <c r="F39" s="23" t="inlineStr">
        <is>
          <t>Broker</t>
        </is>
      </c>
      <c r="G39" s="23" t="inlineStr">
        <is>
          <t>yes</t>
        </is>
      </c>
      <c r="H39" s="23" t="inlineStr">
        <is>
          <t>MISSING</t>
        </is>
      </c>
    </row>
    <row r="40">
      <c r="A40" s="5" t="inlineStr">
        <is>
          <t>Parties</t>
        </is>
      </c>
      <c r="B40" s="5" t="inlineStr">
        <is>
          <t>deal_status</t>
        </is>
      </c>
      <c r="C40" s="5" t="inlineStr">
        <is>
          <t>text</t>
        </is>
      </c>
      <c r="D40" s="23" t="inlineStr">
        <is>
          <t>Where the deal sits — marketed, call for offers, under contract.</t>
        </is>
      </c>
      <c r="E40" s="5" t="inlineStr">
        <is>
          <t>Offering memorandum / marketing package</t>
        </is>
      </c>
      <c r="F40" s="23" t="inlineStr">
        <is>
          <t>Deal status</t>
        </is>
      </c>
      <c r="G40" s="23" t="inlineStr">
        <is>
          <t>yes</t>
        </is>
      </c>
      <c r="H40" s="23" t="inlineStr">
        <is>
          <t>MISSING</t>
        </is>
      </c>
    </row>
    <row r="41">
      <c r="A41" s="4" t="inlineStr">
        <is>
          <t>Pricing</t>
        </is>
      </c>
      <c r="B41" s="4" t="n"/>
      <c r="C41" s="4" t="n"/>
      <c r="D41" s="4" t="n"/>
      <c r="E41" s="4" t="n"/>
      <c r="F41" s="4" t="n"/>
      <c r="G41" s="4" t="n"/>
      <c r="H41" s="4" t="n"/>
    </row>
    <row r="42">
      <c r="A42" s="5" t="inlineStr">
        <is>
          <t>Pricing</t>
        </is>
      </c>
      <c r="B42" s="5" t="inlineStr">
        <is>
          <t>pricing_guidance</t>
        </is>
      </c>
      <c r="C42" s="5" t="inlineStr">
        <is>
          <t>text</t>
        </is>
      </c>
      <c r="D42" s="23" t="inlineStr">
        <is>
          <t>Pricing guidance in prose. Illustrative in every published output.</t>
        </is>
      </c>
      <c r="E42" s="5" t="inlineStr">
        <is>
          <t>Supplied by the operator</t>
        </is>
      </c>
      <c r="F42" s="23" t="inlineStr">
        <is>
          <t>Purchase price assumption</t>
        </is>
      </c>
      <c r="G42" s="23" t="inlineStr">
        <is>
          <t>yes</t>
        </is>
      </c>
      <c r="H42" s="23" t="inlineStr">
        <is>
          <t>$215,000 per unit (entered on the upload form); the memorandum's own figure is $308,333 per unit (a stated total of $7,400,000 over 24 units, +43.4% against the price entered)</t>
        </is>
      </c>
    </row>
    <row r="43">
      <c r="A43" s="5" t="inlineStr">
        <is>
          <t>Pricing</t>
        </is>
      </c>
      <c r="B43" s="5" t="inlineStr">
        <is>
          <t>price_per_unit</t>
        </is>
      </c>
      <c r="C43" s="5" t="inlineStr">
        <is>
          <t>currency</t>
        </is>
      </c>
      <c r="D43" s="23" t="inlineStr">
        <is>
          <t>Price per unit. Sanity-banded to 50,000–600,000; a figure outside that band is income, capex, a fee, or a typo, not a price.</t>
        </is>
      </c>
      <c r="E43" s="5" t="inlineStr">
        <is>
          <t>Supplied by the operator</t>
        </is>
      </c>
      <c r="F43" s="23" t="inlineStr">
        <is>
          <t>Purchase price per unit</t>
        </is>
      </c>
      <c r="G43" s="23" t="inlineStr">
        <is>
          <t>yes</t>
        </is>
      </c>
      <c r="H43" s="23" t="inlineStr">
        <is>
          <t>$215,000</t>
        </is>
      </c>
    </row>
    <row r="44">
      <c r="A44" s="5" t="inlineStr">
        <is>
          <t>Pricing</t>
        </is>
      </c>
      <c r="B44" s="5" t="inlineStr">
        <is>
          <t>document_price_per_unit</t>
        </is>
      </c>
      <c r="C44" s="5" t="inlineStr">
        <is>
          <t>currency</t>
        </is>
      </c>
      <c r="D44" s="23" t="inlineStr">
        <is>
          <t>The per-unit price the memorandum itself states, or implies as a stated total over the unit count — the seller's figure, kept beside the price entered for comparison. None when it states no usable price.</t>
        </is>
      </c>
      <c r="E44" s="5" t="inlineStr">
        <is>
          <t>Offering memorandum / marketing package</t>
        </is>
      </c>
      <c r="F44" s="23" t="inlineStr">
        <is>
          <t>Pricing guidance (memorandum), for comparison</t>
        </is>
      </c>
      <c r="G44" s="23" t="inlineStr">
        <is>
          <t>yes</t>
        </is>
      </c>
      <c r="H44" s="23" t="inlineStr">
        <is>
          <t>$308,333</t>
        </is>
      </c>
    </row>
    <row r="45">
      <c r="A45" s="5" t="inlineStr">
        <is>
          <t>Pricing</t>
        </is>
      </c>
      <c r="B45" s="5" t="inlineStr">
        <is>
          <t>total_price</t>
        </is>
      </c>
      <c r="C45" s="5" t="inlineStr">
        <is>
          <t>currency</t>
        </is>
      </c>
      <c r="D45" s="23" t="inlineStr">
        <is>
          <t>Price per unit times unit count.</t>
        </is>
      </c>
      <c r="E45" s="5" t="inlineStr">
        <is>
          <t>Derived by the pipeline</t>
        </is>
      </c>
      <c r="F45" s="23" t="inlineStr">
        <is>
          <t>Purchase price</t>
        </is>
      </c>
      <c r="G45" s="23" t="inlineStr">
        <is>
          <t>yes</t>
        </is>
      </c>
      <c r="H45" s="23" t="inlineStr">
        <is>
          <t>—</t>
        </is>
      </c>
    </row>
    <row r="46">
      <c r="A46" s="5" t="inlineStr">
        <is>
          <t>Pricing</t>
        </is>
      </c>
      <c r="B46" s="5" t="inlineStr">
        <is>
          <t>t12_cap_rate</t>
        </is>
      </c>
      <c r="C46" s="5" t="inlineStr">
        <is>
          <t>percent</t>
        </is>
      </c>
      <c r="D46" s="23" t="inlineStr">
        <is>
          <t>Trailing-twelve NOI divided by total price.</t>
        </is>
      </c>
      <c r="E46" s="5" t="inlineStr">
        <is>
          <t>Derived by the pipeline</t>
        </is>
      </c>
      <c r="F46" s="23" t="inlineStr">
        <is>
          <t>Going-in cap rate (T-12 basis)</t>
        </is>
      </c>
      <c r="G46" s="23" t="inlineStr">
        <is>
          <t>yes</t>
        </is>
      </c>
      <c r="H46" s="23" t="inlineStr">
        <is>
          <t>—</t>
        </is>
      </c>
    </row>
    <row r="47">
      <c r="A47" s="5" t="inlineStr">
        <is>
          <t>Pricing</t>
        </is>
      </c>
      <c r="B47" s="5" t="inlineStr">
        <is>
          <t>t3_cap_rate</t>
        </is>
      </c>
      <c r="C47" s="5" t="inlineStr">
        <is>
          <t>percent</t>
        </is>
      </c>
      <c r="D47" s="23" t="inlineStr">
        <is>
          <t>Annualized trailing-three NOI divided by total price.</t>
        </is>
      </c>
      <c r="E47" s="5" t="inlineStr">
        <is>
          <t>Derived by the pipeline</t>
        </is>
      </c>
      <c r="F47" s="23" t="inlineStr">
        <is>
          <t>Going-in cap rate (T-3 basis)</t>
        </is>
      </c>
      <c r="G47" s="23" t="inlineStr">
        <is>
          <t>yes</t>
        </is>
      </c>
      <c r="H47" s="23" t="inlineStr">
        <is>
          <t>—</t>
        </is>
      </c>
    </row>
    <row r="48">
      <c r="A48" s="5" t="inlineStr">
        <is>
          <t>Pricing</t>
        </is>
      </c>
      <c r="B48" s="5" t="inlineStr">
        <is>
          <t>broker_proforma_noi</t>
        </is>
      </c>
      <c r="C48" s="5" t="inlineStr">
        <is>
          <t>currency</t>
        </is>
      </c>
      <c r="D48" s="23" t="inlineStr">
        <is>
          <t>NOI from the broker's pro forma, when one was supplied. Kept in its own column, never merged into the T-12.</t>
        </is>
      </c>
      <c r="E48" s="5" t="inlineStr">
        <is>
          <t>Offering memorandum / marketing package</t>
        </is>
      </c>
      <c r="F48" s="23" t="inlineStr">
        <is>
          <t>Broker pro forma column</t>
        </is>
      </c>
      <c r="G48" s="23" t="inlineStr">
        <is>
          <t>yes</t>
        </is>
      </c>
      <c r="H48" s="23" t="inlineStr">
        <is>
          <t>—</t>
        </is>
      </c>
    </row>
    <row r="49">
      <c r="A49" s="4" t="inlineStr">
        <is>
          <t>Rents</t>
        </is>
      </c>
      <c r="B49" s="4" t="n"/>
      <c r="C49" s="4" t="n"/>
      <c r="D49" s="4" t="n"/>
      <c r="E49" s="4" t="n"/>
      <c r="F49" s="4" t="n"/>
      <c r="G49" s="4" t="n"/>
      <c r="H49" s="4" t="n"/>
    </row>
    <row r="50">
      <c r="A50" s="5" t="inlineStr">
        <is>
          <t>Rents</t>
        </is>
      </c>
      <c r="B50" s="5" t="inlineStr">
        <is>
          <t>in_place_rent_avg</t>
        </is>
      </c>
      <c r="C50" s="5" t="inlineStr">
        <is>
          <t>currency</t>
        </is>
      </c>
      <c r="D50" s="23" t="inlineStr">
        <is>
          <t>Weighted average in-place rent across occupied units.</t>
        </is>
      </c>
      <c r="E50" s="5" t="inlineStr">
        <is>
          <t>Rent roll export</t>
        </is>
      </c>
      <c r="F50" s="23" t="inlineStr">
        <is>
          <t>In-place rent</t>
        </is>
      </c>
      <c r="G50" s="23" t="inlineStr">
        <is>
          <t>yes</t>
        </is>
      </c>
      <c r="H50" s="23" t="inlineStr">
        <is>
          <t>$2,457</t>
        </is>
      </c>
    </row>
    <row r="51">
      <c r="A51" s="5" t="inlineStr">
        <is>
          <t>Rents</t>
        </is>
      </c>
      <c r="B51" s="5" t="inlineStr">
        <is>
          <t>market_rent_for_model</t>
        </is>
      </c>
      <c r="C51" s="5" t="inlineStr">
        <is>
          <t>currency</t>
        </is>
      </c>
      <c r="D51" s="23" t="inlineStr">
        <is>
          <t>The rent to underwrite: new move-in rent (residents who moved in inside the lookback window, by move-in date) where the plan has one, otherwise in-place. Requires a usable lease start AND move-in date on the roll; without either it is in-place outright. Never a blend of new and renewal.</t>
        </is>
      </c>
      <c r="E51" s="5" t="inlineStr">
        <is>
          <t>Derived by the pipeline</t>
        </is>
      </c>
      <c r="F51" s="23" t="inlineStr">
        <is>
          <t>Market rent / unit-mix rent</t>
        </is>
      </c>
      <c r="G51" s="23" t="inlineStr">
        <is>
          <t>yes</t>
        </is>
      </c>
      <c r="H51" s="23" t="inlineStr">
        <is>
          <t>$2,457</t>
        </is>
      </c>
    </row>
    <row r="52">
      <c r="A52" s="5" t="inlineStr">
        <is>
          <t>Rents</t>
        </is>
      </c>
      <c r="B52" s="5" t="inlineStr">
        <is>
          <t>fair_market_value</t>
        </is>
      </c>
      <c r="C52" s="5" t="inlineStr">
        <is>
          <t>currency</t>
        </is>
      </c>
      <c r="D52" s="23" t="inlineStr">
        <is>
          <t>Operator's own fair-market-value estimate for the asset, stated so the pricing assumption has something to be checked against. Supplied deliberately, not scraped — a field with no defined source ships blank forever.</t>
        </is>
      </c>
      <c r="E52" s="5" t="inlineStr">
        <is>
          <t>Supplied by the operator</t>
        </is>
      </c>
      <c r="F52" s="23" t="inlineStr">
        <is>
          <t>Valuation cross-check</t>
        </is>
      </c>
      <c r="G52" s="23" t="inlineStr">
        <is>
          <t>Internal pipeline only — The internal pipeline pulls a market value by web lookup; the demo does not reach the web.</t>
        </is>
      </c>
      <c r="H52" s="23" t="inlineStr">
        <is>
          <t>MISSING</t>
        </is>
      </c>
    </row>
    <row r="53">
      <c r="A53" s="4" t="inlineStr">
        <is>
          <t>Taxes</t>
        </is>
      </c>
      <c r="B53" s="4" t="n"/>
      <c r="C53" s="4" t="n"/>
      <c r="D53" s="4" t="n"/>
      <c r="E53" s="4" t="n"/>
      <c r="F53" s="4" t="n"/>
      <c r="G53" s="4" t="n"/>
      <c r="H53" s="4" t="n"/>
    </row>
    <row r="54">
      <c r="A54" s="5" t="inlineStr">
        <is>
          <t>Taxes</t>
        </is>
      </c>
      <c r="B54" s="5" t="inlineStr">
        <is>
          <t>tax_rate_as_billed</t>
        </is>
      </c>
      <c r="C54" s="5" t="inlineStr">
        <is>
          <t>percent</t>
        </is>
      </c>
      <c r="D54" s="23" t="inlineStr">
        <is>
          <t>Millage as actually billed, not a statutory or blended rate.</t>
        </is>
      </c>
      <c r="E54" s="5" t="inlineStr">
        <is>
          <t>County tax portal</t>
        </is>
      </c>
      <c r="F54" s="23" t="inlineStr">
        <is>
          <t>Property tax rate</t>
        </is>
      </c>
      <c r="G54" s="23" t="inlineStr">
        <is>
          <t>yes</t>
        </is>
      </c>
      <c r="H54" s="23" t="inlineStr">
        <is>
          <t>1,025.7%</t>
        </is>
      </c>
    </row>
    <row r="55">
      <c r="A55" s="5" t="inlineStr">
        <is>
          <t>Taxes</t>
        </is>
      </c>
      <c r="B55" s="5" t="inlineStr">
        <is>
          <t>tax_rate_evidence</t>
        </is>
      </c>
      <c r="C55" s="5" t="inlineStr">
        <is>
          <t>text</t>
        </is>
      </c>
      <c r="D55" s="23" t="inlineStr">
        <is>
          <t>What was read and from where. Reads MISSING when the portal returned nothing — a visible hole beats a plausible guess.</t>
        </is>
      </c>
      <c r="E55" s="5" t="inlineStr">
        <is>
          <t>County tax portal</t>
        </is>
      </c>
      <c r="F55" s="23" t="inlineStr">
        <is>
          <t>Reference only — not a model input</t>
        </is>
      </c>
      <c r="G55" s="23" t="inlineStr">
        <is>
          <t>yes</t>
        </is>
      </c>
      <c r="H55" s="23" t="inlineStr">
        <is>
          <t>Vendored county rate table: 10.2573 per $100 of assessed value, tax year 2025 — Tax area code 971300 — City of Phoenix / Deer Valley Unified School District #97: Primary rate 6.…</t>
        </is>
      </c>
    </row>
    <row r="56">
      <c r="A56" s="5" t="inlineStr">
        <is>
          <t>Taxes</t>
        </is>
      </c>
      <c r="B56" s="5" t="inlineStr">
        <is>
          <t>assessed_value_basis</t>
        </is>
      </c>
      <c r="C56" s="5" t="inlineStr">
        <is>
          <t>currency</t>
        </is>
      </c>
      <c r="D56" s="23" t="inlineStr">
        <is>
          <t>Value the assessment is computed against.</t>
        </is>
      </c>
      <c r="E56" s="5" t="inlineStr">
        <is>
          <t>County tax portal</t>
        </is>
      </c>
      <c r="F56" s="23" t="inlineStr">
        <is>
          <t>Tax basis</t>
        </is>
      </c>
      <c r="G56" s="23" t="inlineStr">
        <is>
          <t>Internal pipeline only — See parcel: read off the county assessor's portal by the internal pipeline only.</t>
        </is>
      </c>
      <c r="H56" s="23" t="inlineStr">
        <is>
          <t>MISSING</t>
        </is>
      </c>
    </row>
    <row r="57">
      <c r="A57" s="5" t="inlineStr">
        <is>
          <t>Taxes</t>
        </is>
      </c>
      <c r="B57" s="5" t="inlineStr">
        <is>
          <t>assessment_ratio</t>
        </is>
      </c>
      <c r="C57" s="5" t="inlineStr">
        <is>
          <t>percent</t>
        </is>
      </c>
      <c r="D57" s="23" t="inlineStr">
        <is>
          <t>Share of value that is assessed.</t>
        </is>
      </c>
      <c r="E57" s="5" t="inlineStr">
        <is>
          <t>County tax portal</t>
        </is>
      </c>
      <c r="F57" s="23" t="inlineStr">
        <is>
          <t>Tax inputs</t>
        </is>
      </c>
      <c r="G57" s="23" t="inlineStr">
        <is>
          <t>yes</t>
        </is>
      </c>
      <c r="H57" s="23" t="inlineStr">
        <is>
          <t>10.0%</t>
        </is>
      </c>
    </row>
    <row r="58">
      <c r="A58" s="5" t="inlineStr">
        <is>
          <t>Taxes</t>
        </is>
      </c>
      <c r="B58" s="5" t="inlineStr">
        <is>
          <t>tax_divisor</t>
        </is>
      </c>
      <c r="C58" s="5" t="inlineStr">
        <is>
          <t>number</t>
        </is>
      </c>
      <c r="D58" s="23" t="inlineStr">
        <is>
          <t>Per-state divisor converting millage to a rate.</t>
        </is>
      </c>
      <c r="E58" s="5" t="inlineStr">
        <is>
          <t>County tax portal</t>
        </is>
      </c>
      <c r="F58" s="23" t="inlineStr">
        <is>
          <t>Tax inputs</t>
        </is>
      </c>
      <c r="G58" s="23" t="inlineStr">
        <is>
          <t>yes</t>
        </is>
      </c>
      <c r="H58" s="23" t="inlineStr">
        <is>
          <t>100</t>
        </is>
      </c>
    </row>
    <row r="59">
      <c r="A59" s="5" t="inlineStr">
        <is>
          <t>Taxes</t>
        </is>
      </c>
      <c r="B59" s="5" t="inlineStr">
        <is>
          <t>tax_exemption</t>
        </is>
      </c>
      <c r="C59" s="5" t="inlineStr">
        <is>
          <t>currency</t>
        </is>
      </c>
      <c r="D59" s="23" t="inlineStr">
        <is>
          <t>Exemption applied against the computed bill.</t>
        </is>
      </c>
      <c r="E59" s="5" t="inlineStr">
        <is>
          <t>County tax portal</t>
        </is>
      </c>
      <c r="F59" s="23" t="inlineStr">
        <is>
          <t>Tax inputs</t>
        </is>
      </c>
      <c r="G59" s="23" t="inlineStr">
        <is>
          <t>Internal pipeline only — See parcel: read off the county assessor's portal by the internal pipeline only.</t>
        </is>
      </c>
      <c r="H59" s="23" t="inlineStr">
        <is>
          <t>MISSING</t>
        </is>
      </c>
    </row>
    <row r="60">
      <c r="A60" s="5" t="inlineStr">
        <is>
          <t>Taxes</t>
        </is>
      </c>
      <c r="B60" s="5" t="inlineStr">
        <is>
          <t>tax_parcel_id</t>
        </is>
      </c>
      <c r="C60" s="5" t="inlineStr">
        <is>
          <t>text</t>
        </is>
      </c>
      <c r="D60" s="23" t="inlineStr">
        <is>
          <t>Assessor parcel number the bill is issued against. A tax figure that cannot name its parcel cannot be checked.</t>
        </is>
      </c>
      <c r="E60" s="5" t="inlineStr">
        <is>
          <t>County tax portal</t>
        </is>
      </c>
      <c r="F60" s="23" t="inlineStr">
        <is>
          <t>Tax evidence</t>
        </is>
      </c>
      <c r="G60" s="23" t="inlineStr">
        <is>
          <t>Internal pipeline only — The internal pipeline reads the parcel, tax district, assessed value, exemption and billed amount off the county assessor's portal; the demo shows the county's published rate only.</t>
        </is>
      </c>
      <c r="H60" s="23" t="inlineStr">
        <is>
          <t>MISSING</t>
        </is>
      </c>
    </row>
    <row r="61">
      <c r="A61" s="5" t="inlineStr">
        <is>
          <t>Taxes</t>
        </is>
      </c>
      <c r="B61" s="5" t="inlineStr">
        <is>
          <t>tax_area_code</t>
        </is>
      </c>
      <c r="C61" s="5" t="inlineStr">
        <is>
          <t>text</t>
        </is>
      </c>
      <c r="D61" s="23" t="inlineStr">
        <is>
          <t>Tax area / district code, which selects the published rate row that applies.</t>
        </is>
      </c>
      <c r="E61" s="5" t="inlineStr">
        <is>
          <t>County tax portal</t>
        </is>
      </c>
      <c r="F61" s="23" t="inlineStr">
        <is>
          <t>Tax evidence</t>
        </is>
      </c>
      <c r="G61" s="23" t="inlineStr">
        <is>
          <t>Internal pipeline only — See parcel: read off the county assessor's portal by the internal pipeline only.</t>
        </is>
      </c>
      <c r="H61" s="23" t="inlineStr">
        <is>
          <t>MISSING</t>
        </is>
      </c>
    </row>
    <row r="62">
      <c r="A62" s="5" t="inlineStr">
        <is>
          <t>Taxes</t>
        </is>
      </c>
      <c r="B62" s="5" t="inlineStr">
        <is>
          <t>tax_basis_label</t>
        </is>
      </c>
      <c r="C62" s="5" t="inlineStr">
        <is>
          <t>text</t>
        </is>
      </c>
      <c r="D62" s="23" t="inlineStr">
        <is>
          <t>What the assessed basis IS in that state — a limited value, a market value, an appraised value. The word matters because only some of them reset on sale.</t>
        </is>
      </c>
      <c r="E62" s="5" t="inlineStr">
        <is>
          <t>County tax portal</t>
        </is>
      </c>
      <c r="F62" s="23" t="inlineStr">
        <is>
          <t>Tax inputs</t>
        </is>
      </c>
      <c r="G62" s="23" t="inlineStr">
        <is>
          <t>yes</t>
        </is>
      </c>
      <c r="H62" s="23" t="inlineStr">
        <is>
          <t>Limited property value (LPV), per the county assessor</t>
        </is>
      </c>
    </row>
    <row r="63">
      <c r="A63" s="5" t="inlineStr">
        <is>
          <t>Taxes</t>
        </is>
      </c>
      <c r="B63" s="5" t="inlineStr">
        <is>
          <t>tax_basis_note</t>
        </is>
      </c>
      <c r="C63" s="5" t="inlineStr">
        <is>
          <t>text</t>
        </is>
      </c>
      <c r="D63" s="23" t="inlineStr">
        <is>
          <t>How that basis behaves on a sale. Where a state caps growth and does not reset on transfer, pricing tax off the purchase price overstates it badly.</t>
        </is>
      </c>
      <c r="E63" s="5" t="inlineStr">
        <is>
          <t>County tax portal</t>
        </is>
      </c>
      <c r="F63" s="23" t="inlineStr">
        <is>
          <t>Tax inputs</t>
        </is>
      </c>
      <c r="G63" s="23" t="inlineStr">
        <is>
          <t>yes</t>
        </is>
      </c>
      <c r="H63" s="23" t="inlineStr">
        <is>
          <t>Arizona taxes the limited property value, not the price. Under Proposition 117 (Ariz. Const. art. IX sec. 18; A.R.S. sec. 42-13301) the LPV rises at most 5% a year and does not …</t>
        </is>
      </c>
    </row>
    <row r="64">
      <c r="A64" s="5" t="inlineStr">
        <is>
          <t>Taxes</t>
        </is>
      </c>
      <c r="B64" s="5" t="inlineStr">
        <is>
          <t>tax_billed_amount</t>
        </is>
      </c>
      <c r="C64" s="5" t="inlineStr">
        <is>
          <t>currency</t>
        </is>
      </c>
      <c r="D64" s="23" t="inlineStr">
        <is>
          <t>The tax the county actually billed, for the year stated — the figure the computed tax is checked against.</t>
        </is>
      </c>
      <c r="E64" s="5" t="inlineStr">
        <is>
          <t>County tax portal</t>
        </is>
      </c>
      <c r="F64" s="23" t="inlineStr">
        <is>
          <t>Tax evidence</t>
        </is>
      </c>
      <c r="G64" s="23" t="inlineStr">
        <is>
          <t>Internal pipeline only — See parcel: read off the county assessor's portal by the internal pipeline only.</t>
        </is>
      </c>
      <c r="H64" s="23" t="inlineStr">
        <is>
          <t>MISSING</t>
        </is>
      </c>
    </row>
    <row r="65">
      <c r="A65" s="5" t="inlineStr">
        <is>
          <t>Taxes</t>
        </is>
      </c>
      <c r="B65" s="5" t="inlineStr">
        <is>
          <t>tax_billed_year</t>
        </is>
      </c>
      <c r="C65" s="5" t="inlineStr">
        <is>
          <t>integer</t>
        </is>
      </c>
      <c r="D65" s="23" t="inlineStr">
        <is>
          <t>Tax year of the billed figure.</t>
        </is>
      </c>
      <c r="E65" s="5" t="inlineStr">
        <is>
          <t>County tax portal</t>
        </is>
      </c>
      <c r="F65" s="23" t="inlineStr">
        <is>
          <t>Tax evidence</t>
        </is>
      </c>
      <c r="G65" s="23" t="inlineStr">
        <is>
          <t>Internal pipeline only — See parcel: read off the county assessor's portal by the internal pipeline only.</t>
        </is>
      </c>
      <c r="H65" s="23" t="inlineStr">
        <is>
          <t>MISSING</t>
        </is>
      </c>
    </row>
    <row r="66">
      <c r="A66" s="5" t="inlineStr">
        <is>
          <t>Taxes</t>
        </is>
      </c>
      <c r="B66" s="5" t="inlineStr">
        <is>
          <t>computed_annual_tax</t>
        </is>
      </c>
      <c r="C66" s="5" t="inlineStr">
        <is>
          <t>currency</t>
        </is>
      </c>
      <c r="D66" s="23" t="inlineStr">
        <is>
          <t>Basis times ratio over divisor times rate, less exemption.</t>
        </is>
      </c>
      <c r="E66" s="5" t="inlineStr">
        <is>
          <t>Derived by the pipeline</t>
        </is>
      </c>
      <c r="F66" s="23" t="inlineStr">
        <is>
          <t>Property tax expense</t>
        </is>
      </c>
      <c r="G66" s="23" t="inlineStr">
        <is>
          <t>yes</t>
        </is>
      </c>
      <c r="H66" s="23" t="inlineStr">
        <is>
          <t>—</t>
        </is>
      </c>
    </row>
    <row r="67">
      <c r="A67" s="5" t="inlineStr">
        <is>
          <t>Taxes</t>
        </is>
      </c>
      <c r="B67" s="5" t="inlineStr">
        <is>
          <t>computed_tax_per_unit</t>
        </is>
      </c>
      <c r="C67" s="5" t="inlineStr">
        <is>
          <t>currency</t>
        </is>
      </c>
      <c r="D67" s="23" t="inlineStr">
        <is>
          <t>Computed annual tax divided by unit count.</t>
        </is>
      </c>
      <c r="E67" s="5" t="inlineStr">
        <is>
          <t>Derived by the pipeline</t>
        </is>
      </c>
      <c r="F67" s="23" t="inlineStr">
        <is>
          <t>Property tax per unit</t>
        </is>
      </c>
      <c r="G67" s="23" t="inlineStr">
        <is>
          <t>yes</t>
        </is>
      </c>
      <c r="H67" s="23" t="inlineStr">
        <is>
          <t>—</t>
        </is>
      </c>
    </row>
    <row r="68">
      <c r="A68" s="4" t="inlineStr">
        <is>
          <t>Closing costs</t>
        </is>
      </c>
      <c r="B68" s="4" t="n"/>
      <c r="C68" s="4" t="n"/>
      <c r="D68" s="4" t="n"/>
      <c r="E68" s="4" t="n"/>
      <c r="F68" s="4" t="n"/>
      <c r="G68" s="4" t="n"/>
      <c r="H68" s="4" t="n"/>
    </row>
    <row r="69">
      <c r="A69" s="5" t="inlineStr">
        <is>
          <t>Closing costs</t>
        </is>
      </c>
      <c r="B69" s="5" t="inlineStr">
        <is>
          <t>closing_state</t>
        </is>
      </c>
      <c r="C69" s="5" t="inlineStr">
        <is>
          <t>text</t>
        </is>
      </c>
      <c r="D69" s="23" t="inlineStr">
        <is>
          <t>State whose statutes the closing costs are computed under. Cross-checked against the property's own state.</t>
        </is>
      </c>
      <c r="E69" s="5" t="inlineStr">
        <is>
          <t>Derived by the pipeline</t>
        </is>
      </c>
      <c r="F69" s="23" t="inlineStr">
        <is>
          <t>Closing cost assumptions</t>
        </is>
      </c>
      <c r="G69" s="23" t="inlineStr">
        <is>
          <t>yes</t>
        </is>
      </c>
      <c r="H69" s="23" t="inlineStr">
        <is>
          <t>AZ</t>
        </is>
      </c>
    </row>
    <row r="70">
      <c r="A70" s="5" t="inlineStr">
        <is>
          <t>Closing costs</t>
        </is>
      </c>
      <c r="B70" s="5" t="inlineStr">
        <is>
          <t>closing_price</t>
        </is>
      </c>
      <c r="C70" s="5" t="inlineStr">
        <is>
          <t>currency</t>
        </is>
      </c>
      <c r="D70" s="23" t="inlineStr">
        <is>
          <t>Consideration the transfer tax is computed on: price per unit times unit count.</t>
        </is>
      </c>
      <c r="E70" s="5" t="inlineStr">
        <is>
          <t>Derived by the pipeline</t>
        </is>
      </c>
      <c r="F70" s="23" t="inlineStr">
        <is>
          <t>Closing cost assumptions</t>
        </is>
      </c>
      <c r="G70" s="23" t="inlineStr">
        <is>
          <t>yes</t>
        </is>
      </c>
      <c r="H70" s="23" t="inlineStr">
        <is>
          <t>$5,160,000</t>
        </is>
      </c>
    </row>
    <row r="71">
      <c r="A71" s="5" t="inlineStr">
        <is>
          <t>Closing costs</t>
        </is>
      </c>
      <c r="B71" s="5" t="inlineStr">
        <is>
          <t>loan_amount</t>
        </is>
      </c>
      <c r="C71" s="5" t="inlineStr">
        <is>
          <t>currency</t>
        </is>
      </c>
      <c r="D71" s="23" t="inlineStr">
        <is>
          <t>Loan the mortgage or recording tax is computed on. Absent, that tax is reported as not asserted rather than inferred from the price.</t>
        </is>
      </c>
      <c r="E71" s="5" t="inlineStr">
        <is>
          <t>Supplied by the operator</t>
        </is>
      </c>
      <c r="F71" s="23" t="inlineStr">
        <is>
          <t>Debt assumptions</t>
        </is>
      </c>
      <c r="G71" s="23" t="inlineStr">
        <is>
          <t>yes</t>
        </is>
      </c>
      <c r="H71" s="23" t="inlineStr">
        <is>
          <t>—</t>
        </is>
      </c>
    </row>
    <row r="72">
      <c r="A72" s="5" t="inlineStr">
        <is>
          <t>Closing costs</t>
        </is>
      </c>
      <c r="B72" s="5" t="inlineStr">
        <is>
          <t>transfer_tax_amount</t>
        </is>
      </c>
      <c r="C72" s="5" t="inlineStr">
        <is>
          <t>currency</t>
        </is>
      </c>
      <c r="D72" s="23" t="inlineStr">
        <is>
          <t>State or county real-estate transfer tax at the stated price.</t>
        </is>
      </c>
      <c r="E72" s="5" t="inlineStr">
        <is>
          <t>Derived by the pipeline</t>
        </is>
      </c>
      <c r="F72" s="23" t="inlineStr">
        <is>
          <t>Closing costs</t>
        </is>
      </c>
      <c r="G72" s="23" t="inlineStr">
        <is>
          <t>yes</t>
        </is>
      </c>
      <c r="H72" s="23" t="inlineStr">
        <is>
          <t>MISSING</t>
        </is>
      </c>
    </row>
    <row r="73">
      <c r="A73" s="5" t="inlineStr">
        <is>
          <t>Closing costs</t>
        </is>
      </c>
      <c r="B73" s="5" t="inlineStr">
        <is>
          <t>transfer_tax_rate</t>
        </is>
      </c>
      <c r="C73" s="5" t="inlineStr">
        <is>
          <t>text</t>
        </is>
      </c>
      <c r="D73" s="23" t="inlineStr">
        <is>
          <t>The rate applied, as the statute expresses it.</t>
        </is>
      </c>
      <c r="E73" s="5" t="inlineStr">
        <is>
          <t>Derived by the pipeline</t>
        </is>
      </c>
      <c r="F73" s="23" t="inlineStr">
        <is>
          <t>Closing costs</t>
        </is>
      </c>
      <c r="G73" s="23" t="inlineStr">
        <is>
          <t>yes</t>
        </is>
      </c>
      <c r="H73" s="23" t="inlineStr">
        <is>
          <t>Not looked up</t>
        </is>
      </c>
    </row>
    <row r="74">
      <c r="A74" s="5" t="inlineStr">
        <is>
          <t>Closing costs</t>
        </is>
      </c>
      <c r="B74" s="5" t="inlineStr">
        <is>
          <t>transfer_tax_citation</t>
        </is>
      </c>
      <c r="C74" s="5" t="inlineStr">
        <is>
          <t>text</t>
        </is>
      </c>
      <c r="D74" s="23" t="inlineStr">
        <is>
          <t>Statute or revenue-department authority for the rate — including where the authority is that no such tax exists.</t>
        </is>
      </c>
      <c r="E74" s="5" t="inlineStr">
        <is>
          <t>Derived by the pipeline</t>
        </is>
      </c>
      <c r="F74" s="23" t="inlineStr">
        <is>
          <t>Reference only — not a model input</t>
        </is>
      </c>
      <c r="G74" s="23" t="inlineStr">
        <is>
          <t>yes</t>
        </is>
      </c>
      <c r="H74" s="23" t="inlineStr">
        <is>
          <t>Not run in the upload demo. This section needs data sources the demo does not reach, so it is left empty rather than filled with placeholders.</t>
        </is>
      </c>
    </row>
    <row r="75">
      <c r="A75" s="5" t="inlineStr">
        <is>
          <t>Closing costs</t>
        </is>
      </c>
      <c r="B75" s="5" t="inlineStr">
        <is>
          <t>mortgage_tax_amount</t>
        </is>
      </c>
      <c r="C75" s="5" t="inlineStr">
        <is>
          <t>currency</t>
        </is>
      </c>
      <c r="D75" s="23" t="inlineStr">
        <is>
          <t>Mortgage, intangible or recording tax on the security instrument, computed on the loan.</t>
        </is>
      </c>
      <c r="E75" s="5" t="inlineStr">
        <is>
          <t>Derived by the pipeline</t>
        </is>
      </c>
      <c r="F75" s="23" t="inlineStr">
        <is>
          <t>Closing costs</t>
        </is>
      </c>
      <c r="G75" s="23" t="inlineStr">
        <is>
          <t>yes</t>
        </is>
      </c>
      <c r="H75" s="23" t="inlineStr">
        <is>
          <t>MISSING</t>
        </is>
      </c>
    </row>
    <row r="76">
      <c r="A76" s="5" t="inlineStr">
        <is>
          <t>Closing costs</t>
        </is>
      </c>
      <c r="B76" s="5" t="inlineStr">
        <is>
          <t>mortgage_tax_rate</t>
        </is>
      </c>
      <c r="C76" s="5" t="inlineStr">
        <is>
          <t>text</t>
        </is>
      </c>
      <c r="D76" s="23" t="inlineStr">
        <is>
          <t>The rate applied, as the statute expresses it.</t>
        </is>
      </c>
      <c r="E76" s="5" t="inlineStr">
        <is>
          <t>Derived by the pipeline</t>
        </is>
      </c>
      <c r="F76" s="23" t="inlineStr">
        <is>
          <t>Closing costs</t>
        </is>
      </c>
      <c r="G76" s="23" t="inlineStr">
        <is>
          <t>yes</t>
        </is>
      </c>
      <c r="H76" s="23" t="inlineStr">
        <is>
          <t>Not looked up</t>
        </is>
      </c>
    </row>
    <row r="77">
      <c r="A77" s="5" t="inlineStr">
        <is>
          <t>Closing costs</t>
        </is>
      </c>
      <c r="B77" s="5" t="inlineStr">
        <is>
          <t>mortgage_tax_citation</t>
        </is>
      </c>
      <c r="C77" s="5" t="inlineStr">
        <is>
          <t>text</t>
        </is>
      </c>
      <c r="D77" s="23" t="inlineStr">
        <is>
          <t>Statute or revenue-department authority for the rate.</t>
        </is>
      </c>
      <c r="E77" s="5" t="inlineStr">
        <is>
          <t>Derived by the pipeline</t>
        </is>
      </c>
      <c r="F77" s="23" t="inlineStr">
        <is>
          <t>Reference only — not a model input</t>
        </is>
      </c>
      <c r="G77" s="23" t="inlineStr">
        <is>
          <t>yes</t>
        </is>
      </c>
      <c r="H77" s="23" t="inlineStr">
        <is>
          <t>Not run in the upload demo. This section needs data sources the demo does not reach, so it is left empty rather than filled with placeholders.</t>
        </is>
      </c>
    </row>
    <row r="78">
      <c r="A78" s="4" t="inlineStr">
        <is>
          <t>Schools</t>
        </is>
      </c>
      <c r="B78" s="4" t="n"/>
      <c r="C78" s="4" t="n"/>
      <c r="D78" s="4" t="n"/>
      <c r="E78" s="4" t="n"/>
      <c r="F78" s="4" t="n"/>
      <c r="G78" s="4" t="n"/>
      <c r="H78" s="4" t="n"/>
    </row>
    <row r="79">
      <c r="A79" s="5" t="inlineStr">
        <is>
          <t>Schools</t>
        </is>
      </c>
      <c r="B79" s="5" t="inlineStr">
        <is>
          <t>school_elementary_name</t>
        </is>
      </c>
      <c r="C79" s="5" t="inlineStr">
        <is>
          <t>text</t>
        </is>
      </c>
      <c r="D79" s="23" t="inlineStr">
        <is>
          <t>Zoned elementary school.</t>
        </is>
      </c>
      <c r="E79" s="5" t="inlineStr">
        <is>
          <t>Public school-rating source</t>
        </is>
      </c>
      <c r="F79" s="23" t="inlineStr">
        <is>
          <t>Reference only — not a model input</t>
        </is>
      </c>
      <c r="G79" s="23" t="inlineStr">
        <is>
          <t>Internal pipeline only — The internal pipeline looks up the attendance-zone elementary, middle and high school and their public ratings; the demo reads a school name only where the memorandum states one and never rates it.</t>
        </is>
      </c>
      <c r="H79" s="23" t="inlineStr">
        <is>
          <t>MISSING</t>
        </is>
      </c>
    </row>
    <row r="80">
      <c r="A80" s="5" t="inlineStr">
        <is>
          <t>Schools</t>
        </is>
      </c>
      <c r="B80" s="5" t="inlineStr">
        <is>
          <t>school_elementary_rating</t>
        </is>
      </c>
      <c r="C80" s="5" t="inlineStr">
        <is>
          <t>number</t>
        </is>
      </c>
      <c r="D80" s="23" t="inlineStr">
        <is>
          <t>Elementary rating on a 1–10 scale.</t>
        </is>
      </c>
      <c r="E80" s="5" t="inlineStr">
        <is>
          <t>Public school-rating source</t>
        </is>
      </c>
      <c r="F80" s="23" t="inlineStr">
        <is>
          <t>Reference only — not a model input</t>
        </is>
      </c>
      <c r="G80" s="23" t="inlineStr">
        <is>
          <t>Internal pipeline only — The internal pipeline looks up the attendance-zone elementary, middle and high school and their public ratings; the demo reads a school name only where the memorandum states one and never rates it.</t>
        </is>
      </c>
      <c r="H80" s="23" t="inlineStr">
        <is>
          <t>MISSING</t>
        </is>
      </c>
    </row>
    <row r="81">
      <c r="A81" s="5" t="inlineStr">
        <is>
          <t>Schools</t>
        </is>
      </c>
      <c r="B81" s="5" t="inlineStr">
        <is>
          <t>school_middle_name</t>
        </is>
      </c>
      <c r="C81" s="5" t="inlineStr">
        <is>
          <t>text</t>
        </is>
      </c>
      <c r="D81" s="23" t="inlineStr">
        <is>
          <t>Zoned middle school.</t>
        </is>
      </c>
      <c r="E81" s="5" t="inlineStr">
        <is>
          <t>Public school-rating source</t>
        </is>
      </c>
      <c r="F81" s="23" t="inlineStr">
        <is>
          <t>Reference only — not a model input</t>
        </is>
      </c>
      <c r="G81" s="23" t="inlineStr">
        <is>
          <t>Internal pipeline only — The internal pipeline looks up the attendance-zone elementary, middle and high school and their public ratings; the demo reads a school name only where the memorandum states one and never rates it.</t>
        </is>
      </c>
      <c r="H81" s="23" t="inlineStr">
        <is>
          <t>MISSING</t>
        </is>
      </c>
    </row>
    <row r="82">
      <c r="A82" s="5" t="inlineStr">
        <is>
          <t>Schools</t>
        </is>
      </c>
      <c r="B82" s="5" t="inlineStr">
        <is>
          <t>school_middle_rating</t>
        </is>
      </c>
      <c r="C82" s="5" t="inlineStr">
        <is>
          <t>number</t>
        </is>
      </c>
      <c r="D82" s="23" t="inlineStr">
        <is>
          <t>Middle-school rating on a 1–10 scale.</t>
        </is>
      </c>
      <c r="E82" s="5" t="inlineStr">
        <is>
          <t>Public school-rating source</t>
        </is>
      </c>
      <c r="F82" s="23" t="inlineStr">
        <is>
          <t>Reference only — not a model input</t>
        </is>
      </c>
      <c r="G82" s="23" t="inlineStr">
        <is>
          <t>Internal pipeline only — The internal pipeline looks up the attendance-zone elementary, middle and high school and their public ratings; the demo reads a school name only where the memorandum states one and never rates it.</t>
        </is>
      </c>
      <c r="H82" s="23" t="inlineStr">
        <is>
          <t>MISSING</t>
        </is>
      </c>
    </row>
    <row r="83">
      <c r="A83" s="5" t="inlineStr">
        <is>
          <t>Schools</t>
        </is>
      </c>
      <c r="B83" s="5" t="inlineStr">
        <is>
          <t>school_high_name</t>
        </is>
      </c>
      <c r="C83" s="5" t="inlineStr">
        <is>
          <t>text</t>
        </is>
      </c>
      <c r="D83" s="23" t="inlineStr">
        <is>
          <t>Zoned high school.</t>
        </is>
      </c>
      <c r="E83" s="5" t="inlineStr">
        <is>
          <t>Public school-rating source</t>
        </is>
      </c>
      <c r="F83" s="23" t="inlineStr">
        <is>
          <t>Reference only — not a model input</t>
        </is>
      </c>
      <c r="G83" s="23" t="inlineStr">
        <is>
          <t>Internal pipeline only — The internal pipeline looks up the attendance-zone elementary, middle and high school and their public ratings; the demo reads a school name only where the memorandum states one and never rates it.</t>
        </is>
      </c>
      <c r="H83" s="23" t="inlineStr">
        <is>
          <t>MISSING</t>
        </is>
      </c>
    </row>
    <row r="84">
      <c r="A84" s="5" t="inlineStr">
        <is>
          <t>Schools</t>
        </is>
      </c>
      <c r="B84" s="5" t="inlineStr">
        <is>
          <t>school_high_rating</t>
        </is>
      </c>
      <c r="C84" s="5" t="inlineStr">
        <is>
          <t>number</t>
        </is>
      </c>
      <c r="D84" s="23" t="inlineStr">
        <is>
          <t>High-school rating on a 1–10 scale.</t>
        </is>
      </c>
      <c r="E84" s="5" t="inlineStr">
        <is>
          <t>Public school-rating source</t>
        </is>
      </c>
      <c r="F84" s="23" t="inlineStr">
        <is>
          <t>Reference only — not a model input</t>
        </is>
      </c>
      <c r="G84" s="23" t="inlineStr">
        <is>
          <t>Internal pipeline only — The internal pipeline looks up the attendance-zone elementary, middle and high school and their public ratings; the demo reads a school name only where the memorandum states one and never rates it.</t>
        </is>
      </c>
      <c r="H84" s="23" t="inlineStr">
        <is>
          <t>MISSING</t>
        </is>
      </c>
    </row>
    <row r="85">
      <c r="A85" s="4" t="inlineStr">
        <is>
          <t>T-12 revenue</t>
        </is>
      </c>
      <c r="B85" s="4" t="n"/>
      <c r="C85" s="4" t="n"/>
      <c r="D85" s="4" t="n"/>
      <c r="E85" s="4" t="n"/>
      <c r="F85" s="4" t="n"/>
      <c r="G85" s="4" t="n"/>
      <c r="H85" s="4" t="n"/>
    </row>
    <row r="86">
      <c r="A86" s="5" t="inlineStr">
        <is>
          <t>T-12 revenue</t>
        </is>
      </c>
      <c r="B86" s="5" t="inlineStr">
        <is>
          <t>Gross Potential Rent</t>
        </is>
      </c>
      <c r="C86" s="5" t="inlineStr">
        <is>
          <t>currency</t>
        </is>
      </c>
      <c r="D86" s="23" t="inlineStr">
        <is>
          <t>Gross Potential Rent — trailing-twelve total, and trailing-three annualized beside it.</t>
        </is>
      </c>
      <c r="E86" s="5" t="inlineStr">
        <is>
          <t>Trailing-twelve-month income statement</t>
        </is>
      </c>
      <c r="F86" s="23" t="inlineStr">
        <is>
          <t>Investment analysis — T-12 revenue column</t>
        </is>
      </c>
      <c r="G86" s="23" t="inlineStr">
        <is>
          <t>yes</t>
        </is>
      </c>
      <c r="H86" s="23" t="inlineStr">
        <is>
          <t>—</t>
        </is>
      </c>
    </row>
    <row r="87">
      <c r="A87" s="5" t="inlineStr">
        <is>
          <t>T-12 revenue</t>
        </is>
      </c>
      <c r="B87" s="5" t="inlineStr">
        <is>
          <t>Gain / (Loss) to Lease</t>
        </is>
      </c>
      <c r="C87" s="5" t="inlineStr">
        <is>
          <t>currency</t>
        </is>
      </c>
      <c r="D87" s="23" t="inlineStr">
        <is>
          <t>Gain / (Loss) to Lease — trailing-twelve total, and trailing-three annualized beside it.</t>
        </is>
      </c>
      <c r="E87" s="5" t="inlineStr">
        <is>
          <t>Trailing-twelve-month income statement</t>
        </is>
      </c>
      <c r="F87" s="23" t="inlineStr">
        <is>
          <t>Investment analysis — T-12 revenue column</t>
        </is>
      </c>
      <c r="G87" s="23" t="inlineStr">
        <is>
          <t>yes</t>
        </is>
      </c>
      <c r="H87" s="23" t="inlineStr">
        <is>
          <t>—</t>
        </is>
      </c>
    </row>
    <row r="88">
      <c r="A88" s="5" t="inlineStr">
        <is>
          <t>T-12 revenue</t>
        </is>
      </c>
      <c r="B88" s="5" t="inlineStr">
        <is>
          <t>Gross Scheduled Rent</t>
        </is>
      </c>
      <c r="C88" s="5" t="inlineStr">
        <is>
          <t>currency</t>
        </is>
      </c>
      <c r="D88" s="23" t="inlineStr">
        <is>
          <t>Gross Scheduled Rent — trailing-twelve total, and trailing-three annualized beside it.</t>
        </is>
      </c>
      <c r="E88" s="5" t="inlineStr">
        <is>
          <t>Trailing-twelve-month income statement</t>
        </is>
      </c>
      <c r="F88" s="23" t="inlineStr">
        <is>
          <t>Investment analysis — T-12 revenue column</t>
        </is>
      </c>
      <c r="G88" s="23" t="inlineStr">
        <is>
          <t>yes</t>
        </is>
      </c>
      <c r="H88" s="23" t="inlineStr">
        <is>
          <t>—</t>
        </is>
      </c>
    </row>
    <row r="89">
      <c r="A89" s="5" t="inlineStr">
        <is>
          <t>T-12 revenue</t>
        </is>
      </c>
      <c r="B89" s="5" t="inlineStr">
        <is>
          <t>Vacancy</t>
        </is>
      </c>
      <c r="C89" s="5" t="inlineStr">
        <is>
          <t>currency</t>
        </is>
      </c>
      <c r="D89" s="23" t="inlineStr">
        <is>
          <t>Vacancy — trailing-twelve total, and trailing-three annualized beside it.</t>
        </is>
      </c>
      <c r="E89" s="5" t="inlineStr">
        <is>
          <t>Trailing-twelve-month income statement</t>
        </is>
      </c>
      <c r="F89" s="23" t="inlineStr">
        <is>
          <t>Investment analysis — T-12 revenue column</t>
        </is>
      </c>
      <c r="G89" s="23" t="inlineStr">
        <is>
          <t>yes</t>
        </is>
      </c>
      <c r="H89" s="23" t="inlineStr">
        <is>
          <t>—</t>
        </is>
      </c>
    </row>
    <row r="90">
      <c r="A90" s="5" t="inlineStr">
        <is>
          <t>T-12 revenue</t>
        </is>
      </c>
      <c r="B90" s="5" t="inlineStr">
        <is>
          <t>Concessions</t>
        </is>
      </c>
      <c r="C90" s="5" t="inlineStr">
        <is>
          <t>currency</t>
        </is>
      </c>
      <c r="D90" s="23" t="inlineStr">
        <is>
          <t>Concessions — trailing-twelve total, and trailing-three annualized beside it.</t>
        </is>
      </c>
      <c r="E90" s="5" t="inlineStr">
        <is>
          <t>Trailing-twelve-month income statement</t>
        </is>
      </c>
      <c r="F90" s="23" t="inlineStr">
        <is>
          <t>Investment analysis — T-12 revenue column</t>
        </is>
      </c>
      <c r="G90" s="23" t="inlineStr">
        <is>
          <t>yes</t>
        </is>
      </c>
      <c r="H90" s="23" t="inlineStr">
        <is>
          <t>—</t>
        </is>
      </c>
    </row>
    <row r="91">
      <c r="A91" s="5" t="inlineStr">
        <is>
          <t>T-12 revenue</t>
        </is>
      </c>
      <c r="B91" s="5" t="inlineStr">
        <is>
          <t>Non-Revenue Units</t>
        </is>
      </c>
      <c r="C91" s="5" t="inlineStr">
        <is>
          <t>currency</t>
        </is>
      </c>
      <c r="D91" s="23" t="inlineStr">
        <is>
          <t>Non-Revenue Units — trailing-twelve total, and trailing-three annualized beside it.</t>
        </is>
      </c>
      <c r="E91" s="5" t="inlineStr">
        <is>
          <t>Trailing-twelve-month income statement</t>
        </is>
      </c>
      <c r="F91" s="23" t="inlineStr">
        <is>
          <t>Investment analysis — T-12 revenue column</t>
        </is>
      </c>
      <c r="G91" s="23" t="inlineStr">
        <is>
          <t>yes</t>
        </is>
      </c>
      <c r="H91" s="23" t="inlineStr">
        <is>
          <t>—</t>
        </is>
      </c>
    </row>
    <row r="92">
      <c r="A92" s="5" t="inlineStr">
        <is>
          <t>T-12 revenue</t>
        </is>
      </c>
      <c r="B92" s="5" t="inlineStr">
        <is>
          <t>Delinquency</t>
        </is>
      </c>
      <c r="C92" s="5" t="inlineStr">
        <is>
          <t>currency</t>
        </is>
      </c>
      <c r="D92" s="23" t="inlineStr">
        <is>
          <t>Delinquency — trailing-twelve total, and trailing-three annualized beside it.</t>
        </is>
      </c>
      <c r="E92" s="5" t="inlineStr">
        <is>
          <t>Trailing-twelve-month income statement</t>
        </is>
      </c>
      <c r="F92" s="23" t="inlineStr">
        <is>
          <t>Investment analysis — T-12 revenue column</t>
        </is>
      </c>
      <c r="G92" s="23" t="inlineStr">
        <is>
          <t>yes</t>
        </is>
      </c>
      <c r="H92" s="23" t="inlineStr">
        <is>
          <t>—</t>
        </is>
      </c>
    </row>
    <row r="93">
      <c r="A93" s="5" t="inlineStr">
        <is>
          <t>T-12 revenue</t>
        </is>
      </c>
      <c r="B93" s="5" t="inlineStr">
        <is>
          <t>Utility Reimbursements</t>
        </is>
      </c>
      <c r="C93" s="5" t="inlineStr">
        <is>
          <t>currency</t>
        </is>
      </c>
      <c r="D93" s="23" t="inlineStr">
        <is>
          <t>Utility Reimbursements — trailing-twelve total, and trailing-three annualized beside it.</t>
        </is>
      </c>
      <c r="E93" s="5" t="inlineStr">
        <is>
          <t>Trailing-twelve-month income statement</t>
        </is>
      </c>
      <c r="F93" s="23" t="inlineStr">
        <is>
          <t>Investment analysis — T-12 revenue column</t>
        </is>
      </c>
      <c r="G93" s="23" t="inlineStr">
        <is>
          <t>yes</t>
        </is>
      </c>
      <c r="H93" s="23" t="inlineStr">
        <is>
          <t>—</t>
        </is>
      </c>
    </row>
    <row r="94">
      <c r="A94" s="5" t="inlineStr">
        <is>
          <t>T-12 revenue</t>
        </is>
      </c>
      <c r="B94" s="5" t="inlineStr">
        <is>
          <t>Other Income</t>
        </is>
      </c>
      <c r="C94" s="5" t="inlineStr">
        <is>
          <t>currency</t>
        </is>
      </c>
      <c r="D94" s="23" t="inlineStr">
        <is>
          <t>Other Income — trailing-twelve total, and trailing-three annualized beside it.</t>
        </is>
      </c>
      <c r="E94" s="5" t="inlineStr">
        <is>
          <t>Trailing-twelve-month income statement</t>
        </is>
      </c>
      <c r="F94" s="23" t="inlineStr">
        <is>
          <t>Investment analysis — T-12 revenue column</t>
        </is>
      </c>
      <c r="G94" s="23" t="inlineStr">
        <is>
          <t>yes</t>
        </is>
      </c>
      <c r="H94" s="23" t="inlineStr">
        <is>
          <t>—</t>
        </is>
      </c>
    </row>
    <row r="95">
      <c r="A95" s="5" t="inlineStr">
        <is>
          <t>T-12 revenue</t>
        </is>
      </c>
      <c r="B95" s="5" t="inlineStr">
        <is>
          <t>Revenue Adjustments</t>
        </is>
      </c>
      <c r="C95" s="5" t="inlineStr">
        <is>
          <t>currency</t>
        </is>
      </c>
      <c r="D95" s="23" t="inlineStr">
        <is>
          <t>Revenue Adjustments — trailing-twelve total, and trailing-three annualized beside it.</t>
        </is>
      </c>
      <c r="E95" s="5" t="inlineStr">
        <is>
          <t>Trailing-twelve-month income statement</t>
        </is>
      </c>
      <c r="F95" s="23" t="inlineStr">
        <is>
          <t>Investment analysis — T-12 revenue column</t>
        </is>
      </c>
      <c r="G95" s="23" t="inlineStr">
        <is>
          <t>yes</t>
        </is>
      </c>
      <c r="H95" s="23" t="inlineStr">
        <is>
          <t>—</t>
        </is>
      </c>
    </row>
    <row r="96">
      <c r="A96" s="5" t="inlineStr">
        <is>
          <t>T-12 revenue</t>
        </is>
      </c>
      <c r="B96" s="5" t="inlineStr">
        <is>
          <t>Total Revenue</t>
        </is>
      </c>
      <c r="C96" s="5" t="inlineStr">
        <is>
          <t>currency</t>
        </is>
      </c>
      <c r="D96" s="23" t="inlineStr">
        <is>
          <t>Total Revenue — trailing-twelve total, and trailing-three annualized beside it.</t>
        </is>
      </c>
      <c r="E96" s="5" t="inlineStr">
        <is>
          <t>Trailing-twelve-month income statement</t>
        </is>
      </c>
      <c r="F96" s="23" t="inlineStr">
        <is>
          <t>Investment analysis — T-12 revenue column</t>
        </is>
      </c>
      <c r="G96" s="23" t="inlineStr">
        <is>
          <t>yes</t>
        </is>
      </c>
      <c r="H96" s="23" t="inlineStr">
        <is>
          <t>—</t>
        </is>
      </c>
    </row>
    <row r="97">
      <c r="A97" s="4" t="inlineStr">
        <is>
          <t>T-12 expense</t>
        </is>
      </c>
      <c r="B97" s="4" t="n"/>
      <c r="C97" s="4" t="n"/>
      <c r="D97" s="4" t="n"/>
      <c r="E97" s="4" t="n"/>
      <c r="F97" s="4" t="n"/>
      <c r="G97" s="4" t="n"/>
      <c r="H97" s="4" t="n"/>
    </row>
    <row r="98">
      <c r="A98" s="5" t="inlineStr">
        <is>
          <t>T-12 expense</t>
        </is>
      </c>
      <c r="B98" s="5" t="inlineStr">
        <is>
          <t>General and Administrative</t>
        </is>
      </c>
      <c r="C98" s="5" t="inlineStr">
        <is>
          <t>currency</t>
        </is>
      </c>
      <c r="D98" s="23" t="inlineStr">
        <is>
          <t>General and Administrative — trailing-twelve total, trailing-three annualized, and per unit.</t>
        </is>
      </c>
      <c r="E98" s="5" t="inlineStr">
        <is>
          <t>Trailing-twelve-month income statement</t>
        </is>
      </c>
      <c r="F98" s="23" t="inlineStr">
        <is>
          <t>Investment analysis — T-12 expense column</t>
        </is>
      </c>
      <c r="G98" s="23" t="inlineStr">
        <is>
          <t>yes</t>
        </is>
      </c>
      <c r="H98" s="23" t="inlineStr">
        <is>
          <t>—</t>
        </is>
      </c>
    </row>
    <row r="99">
      <c r="A99" s="5" t="inlineStr">
        <is>
          <t>T-12 expense</t>
        </is>
      </c>
      <c r="B99" s="5" t="inlineStr">
        <is>
          <t>Leasing and Marketing</t>
        </is>
      </c>
      <c r="C99" s="5" t="inlineStr">
        <is>
          <t>currency</t>
        </is>
      </c>
      <c r="D99" s="23" t="inlineStr">
        <is>
          <t>Leasing and Marketing — trailing-twelve total, trailing-three annualized, and per unit.</t>
        </is>
      </c>
      <c r="E99" s="5" t="inlineStr">
        <is>
          <t>Trailing-twelve-month income statement</t>
        </is>
      </c>
      <c r="F99" s="23" t="inlineStr">
        <is>
          <t>Investment analysis — T-12 expense column</t>
        </is>
      </c>
      <c r="G99" s="23" t="inlineStr">
        <is>
          <t>yes</t>
        </is>
      </c>
      <c r="H99" s="23" t="inlineStr">
        <is>
          <t>—</t>
        </is>
      </c>
    </row>
    <row r="100">
      <c r="A100" s="5" t="inlineStr">
        <is>
          <t>T-12 expense</t>
        </is>
      </c>
      <c r="B100" s="5" t="inlineStr">
        <is>
          <t>Payroll</t>
        </is>
      </c>
      <c r="C100" s="5" t="inlineStr">
        <is>
          <t>currency</t>
        </is>
      </c>
      <c r="D100" s="23" t="inlineStr">
        <is>
          <t>Payroll — trailing-twelve total, trailing-three annualized, and per unit.</t>
        </is>
      </c>
      <c r="E100" s="5" t="inlineStr">
        <is>
          <t>Trailing-twelve-month income statement</t>
        </is>
      </c>
      <c r="F100" s="23" t="inlineStr">
        <is>
          <t>Investment analysis — T-12 expense column</t>
        </is>
      </c>
      <c r="G100" s="23" t="inlineStr">
        <is>
          <t>yes</t>
        </is>
      </c>
      <c r="H100" s="23" t="inlineStr">
        <is>
          <t>—</t>
        </is>
      </c>
    </row>
    <row r="101">
      <c r="A101" s="5" t="inlineStr">
        <is>
          <t>T-12 expense</t>
        </is>
      </c>
      <c r="B101" s="5" t="inlineStr">
        <is>
          <t>Insurance</t>
        </is>
      </c>
      <c r="C101" s="5" t="inlineStr">
        <is>
          <t>currency</t>
        </is>
      </c>
      <c r="D101" s="23" t="inlineStr">
        <is>
          <t>Insurance — trailing-twelve total, trailing-three annualized, and per unit.</t>
        </is>
      </c>
      <c r="E101" s="5" t="inlineStr">
        <is>
          <t>Trailing-twelve-month income statement</t>
        </is>
      </c>
      <c r="F101" s="23" t="inlineStr">
        <is>
          <t>Investment analysis — T-12 expense column</t>
        </is>
      </c>
      <c r="G101" s="23" t="inlineStr">
        <is>
          <t>yes</t>
        </is>
      </c>
      <c r="H101" s="23" t="inlineStr">
        <is>
          <t>—</t>
        </is>
      </c>
    </row>
    <row r="102">
      <c r="A102" s="5" t="inlineStr">
        <is>
          <t>T-12 expense</t>
        </is>
      </c>
      <c r="B102" s="5" t="inlineStr">
        <is>
          <t>Property Taxes</t>
        </is>
      </c>
      <c r="C102" s="5" t="inlineStr">
        <is>
          <t>currency</t>
        </is>
      </c>
      <c r="D102" s="23" t="inlineStr">
        <is>
          <t>Property Taxes — trailing-twelve total, trailing-three annualized, and per unit.</t>
        </is>
      </c>
      <c r="E102" s="5" t="inlineStr">
        <is>
          <t>Trailing-twelve-month income statement</t>
        </is>
      </c>
      <c r="F102" s="23" t="inlineStr">
        <is>
          <t>Investment analysis — T-12 expense column</t>
        </is>
      </c>
      <c r="G102" s="23" t="inlineStr">
        <is>
          <t>yes</t>
        </is>
      </c>
      <c r="H102" s="23" t="inlineStr">
        <is>
          <t>—</t>
        </is>
      </c>
    </row>
    <row r="103">
      <c r="A103" s="5" t="inlineStr">
        <is>
          <t>T-12 expense</t>
        </is>
      </c>
      <c r="B103" s="5" t="inlineStr">
        <is>
          <t>Legal and Professional</t>
        </is>
      </c>
      <c r="C103" s="5" t="inlineStr">
        <is>
          <t>currency</t>
        </is>
      </c>
      <c r="D103" s="23" t="inlineStr">
        <is>
          <t>Legal and Professional — trailing-twelve total, trailing-three annualized, and per unit.</t>
        </is>
      </c>
      <c r="E103" s="5" t="inlineStr">
        <is>
          <t>Trailing-twelve-month income statement</t>
        </is>
      </c>
      <c r="F103" s="23" t="inlineStr">
        <is>
          <t>Investment analysis — T-12 expense column</t>
        </is>
      </c>
      <c r="G103" s="23" t="inlineStr">
        <is>
          <t>yes</t>
        </is>
      </c>
      <c r="H103" s="23" t="inlineStr">
        <is>
          <t>—</t>
        </is>
      </c>
    </row>
    <row r="104">
      <c r="A104" s="5" t="inlineStr">
        <is>
          <t>T-12 expense</t>
        </is>
      </c>
      <c r="B104" s="5" t="inlineStr">
        <is>
          <t>Management Fee</t>
        </is>
      </c>
      <c r="C104" s="5" t="inlineStr">
        <is>
          <t>currency</t>
        </is>
      </c>
      <c r="D104" s="23" t="inlineStr">
        <is>
          <t>Management Fee — trailing-twelve total, trailing-three annualized, and per unit.</t>
        </is>
      </c>
      <c r="E104" s="5" t="inlineStr">
        <is>
          <t>Trailing-twelve-month income statement</t>
        </is>
      </c>
      <c r="F104" s="23" t="inlineStr">
        <is>
          <t>Investment analysis — T-12 expense column</t>
        </is>
      </c>
      <c r="G104" s="23" t="inlineStr">
        <is>
          <t>yes</t>
        </is>
      </c>
      <c r="H104" s="23" t="inlineStr">
        <is>
          <t>—</t>
        </is>
      </c>
    </row>
    <row r="105">
      <c r="A105" s="5" t="inlineStr">
        <is>
          <t>T-12 expense</t>
        </is>
      </c>
      <c r="B105" s="5" t="inlineStr">
        <is>
          <t>Landscaping</t>
        </is>
      </c>
      <c r="C105" s="5" t="inlineStr">
        <is>
          <t>currency</t>
        </is>
      </c>
      <c r="D105" s="23" t="inlineStr">
        <is>
          <t>Landscaping — trailing-twelve total, trailing-three annualized, and per unit.</t>
        </is>
      </c>
      <c r="E105" s="5" t="inlineStr">
        <is>
          <t>Trailing-twelve-month income statement</t>
        </is>
      </c>
      <c r="F105" s="23" t="inlineStr">
        <is>
          <t>Investment analysis — T-12 expense column</t>
        </is>
      </c>
      <c r="G105" s="23" t="inlineStr">
        <is>
          <t>yes</t>
        </is>
      </c>
      <c r="H105" s="23" t="inlineStr">
        <is>
          <t>—</t>
        </is>
      </c>
    </row>
    <row r="106">
      <c r="A106" s="5" t="inlineStr">
        <is>
          <t>T-12 expense</t>
        </is>
      </c>
      <c r="B106" s="5" t="inlineStr">
        <is>
          <t>Repairs and Maintenance</t>
        </is>
      </c>
      <c r="C106" s="5" t="inlineStr">
        <is>
          <t>currency</t>
        </is>
      </c>
      <c r="D106" s="23" t="inlineStr">
        <is>
          <t>Repairs and Maintenance — trailing-twelve total, trailing-three annualized, and per unit.</t>
        </is>
      </c>
      <c r="E106" s="5" t="inlineStr">
        <is>
          <t>Trailing-twelve-month income statement</t>
        </is>
      </c>
      <c r="F106" s="23" t="inlineStr">
        <is>
          <t>Investment analysis — T-12 expense column</t>
        </is>
      </c>
      <c r="G106" s="23" t="inlineStr">
        <is>
          <t>yes</t>
        </is>
      </c>
      <c r="H106" s="23" t="inlineStr">
        <is>
          <t>—</t>
        </is>
      </c>
    </row>
    <row r="107">
      <c r="A107" s="5" t="inlineStr">
        <is>
          <t>T-12 expense</t>
        </is>
      </c>
      <c r="B107" s="5" t="inlineStr">
        <is>
          <t>Unit Turns</t>
        </is>
      </c>
      <c r="C107" s="5" t="inlineStr">
        <is>
          <t>currency</t>
        </is>
      </c>
      <c r="D107" s="23" t="inlineStr">
        <is>
          <t>Unit Turns — trailing-twelve total, trailing-three annualized, and per unit.</t>
        </is>
      </c>
      <c r="E107" s="5" t="inlineStr">
        <is>
          <t>Trailing-twelve-month income statement</t>
        </is>
      </c>
      <c r="F107" s="23" t="inlineStr">
        <is>
          <t>Investment analysis — T-12 expense column</t>
        </is>
      </c>
      <c r="G107" s="23" t="inlineStr">
        <is>
          <t>yes</t>
        </is>
      </c>
      <c r="H107" s="23" t="inlineStr">
        <is>
          <t>—</t>
        </is>
      </c>
    </row>
    <row r="108">
      <c r="A108" s="5" t="inlineStr">
        <is>
          <t>T-12 expense</t>
        </is>
      </c>
      <c r="B108" s="5" t="inlineStr">
        <is>
          <t>Utilities</t>
        </is>
      </c>
      <c r="C108" s="5" t="inlineStr">
        <is>
          <t>currency</t>
        </is>
      </c>
      <c r="D108" s="23" t="inlineStr">
        <is>
          <t>Utilities — trailing-twelve total, trailing-three annualized, and per unit.</t>
        </is>
      </c>
      <c r="E108" s="5" t="inlineStr">
        <is>
          <t>Trailing-twelve-month income statement</t>
        </is>
      </c>
      <c r="F108" s="23" t="inlineStr">
        <is>
          <t>Investment analysis — T-12 expense column</t>
        </is>
      </c>
      <c r="G108" s="23" t="inlineStr">
        <is>
          <t>yes</t>
        </is>
      </c>
      <c r="H108" s="23" t="inlineStr">
        <is>
          <t>—</t>
        </is>
      </c>
    </row>
    <row r="109">
      <c r="A109" s="5" t="inlineStr">
        <is>
          <t>T-12 expense</t>
        </is>
      </c>
      <c r="B109" s="5" t="inlineStr">
        <is>
          <t>Expense Adjustments</t>
        </is>
      </c>
      <c r="C109" s="5" t="inlineStr">
        <is>
          <t>currency</t>
        </is>
      </c>
      <c r="D109" s="23" t="inlineStr">
        <is>
          <t>Expense Adjustments — trailing-twelve total, trailing-three annualized, and per unit.</t>
        </is>
      </c>
      <c r="E109" s="5" t="inlineStr">
        <is>
          <t>Trailing-twelve-month income statement</t>
        </is>
      </c>
      <c r="F109" s="23" t="inlineStr">
        <is>
          <t>Investment analysis — T-12 expense column</t>
        </is>
      </c>
      <c r="G109" s="23" t="inlineStr">
        <is>
          <t>yes</t>
        </is>
      </c>
      <c r="H109" s="23" t="inlineStr">
        <is>
          <t>—</t>
        </is>
      </c>
    </row>
    <row r="110">
      <c r="A110" s="4" t="inlineStr">
        <is>
          <t>T-12 structure</t>
        </is>
      </c>
      <c r="B110" s="4" t="n"/>
      <c r="C110" s="4" t="n"/>
      <c r="D110" s="4" t="n"/>
      <c r="E110" s="4" t="n"/>
      <c r="F110" s="4" t="n"/>
      <c r="G110" s="4" t="n"/>
      <c r="H110" s="4" t="n"/>
    </row>
    <row r="111">
      <c r="A111" s="5" t="inlineStr">
        <is>
          <t>T-12 structure</t>
        </is>
      </c>
      <c r="B111" s="5" t="inlineStr">
        <is>
          <t>month_labels</t>
        </is>
      </c>
      <c r="C111" s="5" t="inlineStr">
        <is>
          <t>list</t>
        </is>
      </c>
      <c r="D111" s="23" t="inlineStr">
        <is>
          <t>Twelve month labels in the source statement's own order.</t>
        </is>
      </c>
      <c r="E111" s="5" t="inlineStr">
        <is>
          <t>Trailing-twelve-month income statement</t>
        </is>
      </c>
      <c r="F111" s="23" t="inlineStr">
        <is>
          <t>T-12 column headers</t>
        </is>
      </c>
      <c r="G111" s="23" t="inlineStr">
        <is>
          <t>yes</t>
        </is>
      </c>
      <c r="H111" s="23" t="inlineStr">
        <is>
          <t>—</t>
        </is>
      </c>
    </row>
    <row r="112">
      <c r="A112" s="5" t="inlineStr">
        <is>
          <t>T-12 structure</t>
        </is>
      </c>
      <c r="B112" s="5" t="inlineStr">
        <is>
          <t>month_order</t>
        </is>
      </c>
      <c r="C112" s="5" t="inlineStr">
        <is>
          <t>text</t>
        </is>
      </c>
      <c r="D112" s="23" t="inlineStr">
        <is>
          <t>Whether the months run oldest-first or newest-first. Detected from the labels, never assumed, because the T-3 window depends on it.</t>
        </is>
      </c>
      <c r="E112" s="5" t="inlineStr">
        <is>
          <t>Derived by the pipeline</t>
        </is>
      </c>
      <c r="F112" s="23" t="inlineStr">
        <is>
          <t>Reference only — not a model input</t>
        </is>
      </c>
      <c r="G112" s="23" t="inlineStr">
        <is>
          <t>yes</t>
        </is>
      </c>
      <c r="H112" s="23" t="inlineStr">
        <is>
          <t>—</t>
        </is>
      </c>
    </row>
    <row r="113">
      <c r="A113" s="5" t="inlineStr">
        <is>
          <t>T-12 structure</t>
        </is>
      </c>
      <c r="B113" s="5" t="inlineStr">
        <is>
          <t>line_item_label</t>
        </is>
      </c>
      <c r="C113" s="5" t="inlineStr">
        <is>
          <t>text</t>
        </is>
      </c>
      <c r="D113" s="23" t="inlineStr">
        <is>
          <t>The source statement's own wording for a line, kept verbatim beside the category it was mapped to.</t>
        </is>
      </c>
      <c r="E113" s="5" t="inlineStr">
        <is>
          <t>Trailing-twelve-month income statement</t>
        </is>
      </c>
      <c r="F113" s="23" t="inlineStr">
        <is>
          <t>T-12 line item</t>
        </is>
      </c>
      <c r="G113" s="23" t="inlineStr">
        <is>
          <t>yes</t>
        </is>
      </c>
      <c r="H113" s="23" t="inlineStr">
        <is>
          <t>Gross Potential Rent (4010)</t>
        </is>
      </c>
    </row>
    <row r="114">
      <c r="A114" s="5" t="inlineStr">
        <is>
          <t>T-12 structure</t>
        </is>
      </c>
      <c r="B114" s="5" t="inlineStr">
        <is>
          <t>line_item_category</t>
        </is>
      </c>
      <c r="C114" s="5" t="inlineStr">
        <is>
          <t>text</t>
        </is>
      </c>
      <c r="D114" s="23" t="inlineStr">
        <is>
          <t>Which vendored category a source line was mapped to. Blank for an uncategorized subtotal, which stays visible rather than being dropped.</t>
        </is>
      </c>
      <c r="E114" s="5" t="inlineStr">
        <is>
          <t>Derived by the pipeline</t>
        </is>
      </c>
      <c r="F114" s="23" t="inlineStr">
        <is>
          <t>T-12 mapping</t>
        </is>
      </c>
      <c r="G114" s="23" t="inlineStr">
        <is>
          <t>yes</t>
        </is>
      </c>
      <c r="H114" s="23" t="inlineStr">
        <is>
          <t>Gross Potential Rent</t>
        </is>
      </c>
    </row>
    <row r="115">
      <c r="A115" s="5" t="inlineStr">
        <is>
          <t>T-12 structure</t>
        </is>
      </c>
      <c r="B115" s="5" t="inlineStr">
        <is>
          <t>line_item_t12_total</t>
        </is>
      </c>
      <c r="C115" s="5" t="inlineStr">
        <is>
          <t>currency</t>
        </is>
      </c>
      <c r="D115" s="23" t="inlineStr">
        <is>
          <t>Sum of a line's twelve months.</t>
        </is>
      </c>
      <c r="E115" s="5" t="inlineStr">
        <is>
          <t>Derived by the pipeline</t>
        </is>
      </c>
      <c r="F115" s="23" t="inlineStr">
        <is>
          <t>T-12 column</t>
        </is>
      </c>
      <c r="G115" s="23" t="inlineStr">
        <is>
          <t>yes</t>
        </is>
      </c>
      <c r="H115" s="23" t="inlineStr">
        <is>
          <t>—</t>
        </is>
      </c>
    </row>
    <row r="116">
      <c r="A116" s="5" t="inlineStr">
        <is>
          <t>T-12 structure</t>
        </is>
      </c>
      <c r="B116" s="5" t="inlineStr">
        <is>
          <t>line_item_t3_total</t>
        </is>
      </c>
      <c r="C116" s="5" t="inlineStr">
        <is>
          <t>currency</t>
        </is>
      </c>
      <c r="D116" s="23" t="inlineStr">
        <is>
          <t>Sum of a line's three most recent months, taken from whichever end the direction detector found.</t>
        </is>
      </c>
      <c r="E116" s="5" t="inlineStr">
        <is>
          <t>Derived by the pipeline</t>
        </is>
      </c>
      <c r="F116" s="23" t="inlineStr">
        <is>
          <t>T-3 column</t>
        </is>
      </c>
      <c r="G116" s="23" t="inlineStr">
        <is>
          <t>yes</t>
        </is>
      </c>
      <c r="H116" s="23" t="inlineStr">
        <is>
          <t>—</t>
        </is>
      </c>
    </row>
    <row r="117">
      <c r="A117" s="5" t="inlineStr">
        <is>
          <t>T-12 structure</t>
        </is>
      </c>
      <c r="B117" s="5" t="inlineStr">
        <is>
          <t>gross_scheduled_rent</t>
        </is>
      </c>
      <c r="C117" s="5" t="inlineStr">
        <is>
          <t>currency</t>
        </is>
      </c>
      <c r="D117" s="23" t="inlineStr">
        <is>
          <t>Printed on the statement where it exists, otherwise gross potential rent plus gain/(loss) to lease. Which one fired is visible in the workbook formula.</t>
        </is>
      </c>
      <c r="E117" s="5" t="inlineStr">
        <is>
          <t>Derived by the pipeline</t>
        </is>
      </c>
      <c r="F117" s="23" t="inlineStr">
        <is>
          <t>Gross scheduled rent</t>
        </is>
      </c>
      <c r="G117" s="23" t="inlineStr">
        <is>
          <t>yes</t>
        </is>
      </c>
      <c r="H117" s="23" t="inlineStr">
        <is>
          <t>—</t>
        </is>
      </c>
    </row>
    <row r="118">
      <c r="A118" s="5" t="inlineStr">
        <is>
          <t>T-12 structure</t>
        </is>
      </c>
      <c r="B118" s="5" t="inlineStr">
        <is>
          <t>total_revenue</t>
        </is>
      </c>
      <c r="C118" s="5" t="inlineStr">
        <is>
          <t>currency</t>
        </is>
      </c>
      <c r="D118" s="23" t="inlineStr">
        <is>
          <t>Sum from gross scheduled rent down through revenue adjustments — never from gross potential rent, which double-counts loss-to-lease.</t>
        </is>
      </c>
      <c r="E118" s="5" t="inlineStr">
        <is>
          <t>Derived by the pipeline</t>
        </is>
      </c>
      <c r="F118" s="23" t="inlineStr">
        <is>
          <t>Total revenue</t>
        </is>
      </c>
      <c r="G118" s="23" t="inlineStr">
        <is>
          <t>yes</t>
        </is>
      </c>
      <c r="H118" s="23" t="inlineStr">
        <is>
          <t>—</t>
        </is>
      </c>
    </row>
    <row r="119">
      <c r="A119" s="5" t="inlineStr">
        <is>
          <t>T-12 structure</t>
        </is>
      </c>
      <c r="B119" s="5" t="inlineStr">
        <is>
          <t>total_operating_expenses</t>
        </is>
      </c>
      <c r="C119" s="5" t="inlineStr">
        <is>
          <t>currency</t>
        </is>
      </c>
      <c r="D119" s="23" t="inlineStr">
        <is>
          <t>Sum of the twelve expense categories.</t>
        </is>
      </c>
      <c r="E119" s="5" t="inlineStr">
        <is>
          <t>Derived by the pipeline</t>
        </is>
      </c>
      <c r="F119" s="23" t="inlineStr">
        <is>
          <t>Total operating expenses</t>
        </is>
      </c>
      <c r="G119" s="23" t="inlineStr">
        <is>
          <t>yes</t>
        </is>
      </c>
      <c r="H119" s="23" t="inlineStr">
        <is>
          <t>—</t>
        </is>
      </c>
    </row>
    <row r="120">
      <c r="A120" s="5" t="inlineStr">
        <is>
          <t>T-12 structure</t>
        </is>
      </c>
      <c r="B120" s="5" t="inlineStr">
        <is>
          <t>net_operating_income</t>
        </is>
      </c>
      <c r="C120" s="5" t="inlineStr">
        <is>
          <t>currency</t>
        </is>
      </c>
      <c r="D120" s="23" t="inlineStr">
        <is>
          <t>Total revenue less total operating expenses.</t>
        </is>
      </c>
      <c r="E120" s="5" t="inlineStr">
        <is>
          <t>Derived by the pipeline</t>
        </is>
      </c>
      <c r="F120" s="23" t="inlineStr">
        <is>
          <t>Net operating income</t>
        </is>
      </c>
      <c r="G120" s="23" t="inlineStr">
        <is>
          <t>yes</t>
        </is>
      </c>
      <c r="H120" s="23" t="inlineStr">
        <is>
          <t>—</t>
        </is>
      </c>
    </row>
    <row r="121">
      <c r="A121" s="5" t="inlineStr">
        <is>
          <t>T-12 structure</t>
        </is>
      </c>
      <c r="B121" s="5" t="inlineStr">
        <is>
          <t>t3_annualized</t>
        </is>
      </c>
      <c r="C121" s="5" t="inlineStr">
        <is>
          <t>currency</t>
        </is>
      </c>
      <c r="D121" s="23" t="inlineStr">
        <is>
          <t>Trailing-three total times four, beside every rollup row.</t>
        </is>
      </c>
      <c r="E121" s="5" t="inlineStr">
        <is>
          <t>Derived by the pipeline</t>
        </is>
      </c>
      <c r="F121" s="23" t="inlineStr">
        <is>
          <t>T-3 annualized column</t>
        </is>
      </c>
      <c r="G121" s="23" t="inlineStr">
        <is>
          <t>yes</t>
        </is>
      </c>
      <c r="H121" s="23" t="inlineStr">
        <is>
          <t>—</t>
        </is>
      </c>
    </row>
    <row r="122">
      <c r="A122" s="5" t="inlineStr">
        <is>
          <t>T-12 structure</t>
        </is>
      </c>
      <c r="B122" s="5" t="inlineStr">
        <is>
          <t>t6_annualized</t>
        </is>
      </c>
      <c r="C122" s="5" t="inlineStr">
        <is>
          <t>currency</t>
        </is>
      </c>
      <c r="D122" s="23" t="inlineStr">
        <is>
          <t>Trailing-six total times two, so a reader can see whether the trend is up or down.</t>
        </is>
      </c>
      <c r="E122" s="5" t="inlineStr">
        <is>
          <t>Derived by the pipeline</t>
        </is>
      </c>
      <c r="F122" s="23" t="inlineStr">
        <is>
          <t>Trend cross-check</t>
        </is>
      </c>
      <c r="G122" s="23" t="inlineStr">
        <is>
          <t>yes</t>
        </is>
      </c>
      <c r="H122" s="23" t="inlineStr">
        <is>
          <t>—</t>
        </is>
      </c>
    </row>
    <row r="123">
      <c r="A123" s="5" t="inlineStr">
        <is>
          <t>T-12 structure</t>
        </is>
      </c>
      <c r="B123" s="5" t="inlineStr">
        <is>
          <t>t3_trailing_revenue_annualized</t>
        </is>
      </c>
      <c r="C123" s="5" t="inlineStr">
        <is>
          <t>currency</t>
        </is>
      </c>
      <c r="D123" s="23" t="inlineStr">
        <is>
          <t>Six figures: each of the six most recent months plus the two before it, times four — the trend the T-3 cap rate sits at the end of.</t>
        </is>
      </c>
      <c r="E123" s="5" t="inlineStr">
        <is>
          <t>Derived by the pipeline</t>
        </is>
      </c>
      <c r="F123" s="23" t="inlineStr">
        <is>
          <t>Investment analysis — trailing T-3 revenue series</t>
        </is>
      </c>
      <c r="G123" s="23" t="inlineStr">
        <is>
          <t>yes</t>
        </is>
      </c>
      <c r="H123" s="23" t="inlineStr">
        <is>
          <t>—</t>
        </is>
      </c>
    </row>
    <row r="124">
      <c r="A124" s="5" t="inlineStr">
        <is>
          <t>T-12 structure</t>
        </is>
      </c>
      <c r="B124" s="5" t="inlineStr">
        <is>
          <t>statement_guards</t>
        </is>
      </c>
      <c r="C124" s="5" t="inlineStr">
        <is>
          <t>text</t>
        </is>
      </c>
      <c r="D124" s="23" t="inlineStr">
        <is>
          <t>Four sanity checks on how the statement is printed — contra-revenue sign, expense sign, recoveries inside expense buckets, a subtotal counted with its members — each OK or REVIEW with the lines named.</t>
        </is>
      </c>
      <c r="E124" s="5" t="inlineStr">
        <is>
          <t>Derived by the pipeline</t>
        </is>
      </c>
      <c r="F124" s="23" t="inlineStr">
        <is>
          <t>Review flags — not a model input</t>
        </is>
      </c>
      <c r="G124" s="23" t="inlineStr">
        <is>
          <t>yes</t>
        </is>
      </c>
      <c r="H124" s="23" t="inlineStr">
        <is>
          <t>—</t>
        </is>
      </c>
    </row>
    <row r="125">
      <c r="A125" s="5" t="inlineStr">
        <is>
          <t>T-12 structure</t>
        </is>
      </c>
      <c r="B125" s="5" t="inlineStr">
        <is>
          <t>expense_per_unit</t>
        </is>
      </c>
      <c r="C125" s="5" t="inlineStr">
        <is>
          <t>currency</t>
        </is>
      </c>
      <c r="D125" s="23" t="inlineStr">
        <is>
          <t>Each rollup row divided by unit count, blank-guarded so a bad unit count cannot fill the column with errors.</t>
        </is>
      </c>
      <c r="E125" s="5" t="inlineStr">
        <is>
          <t>Derived by the pipeline</t>
        </is>
      </c>
      <c r="F125" s="23" t="inlineStr">
        <is>
          <t>Per-unit expense check</t>
        </is>
      </c>
      <c r="G125" s="23" t="inlineStr">
        <is>
          <t>yes</t>
        </is>
      </c>
      <c r="H125" s="23" t="inlineStr">
        <is>
          <t>—</t>
        </is>
      </c>
    </row>
    <row r="126">
      <c r="A126" s="5" t="inlineStr">
        <is>
          <t>T-12 structure</t>
        </is>
      </c>
      <c r="B126" s="5" t="inlineStr">
        <is>
          <t>pct_of_revenue</t>
        </is>
      </c>
      <c r="C126" s="5" t="inlineStr">
        <is>
          <t>percent</t>
        </is>
      </c>
      <c r="D126" s="23" t="inlineStr">
        <is>
          <t>Each rollup row as a share of total revenue.</t>
        </is>
      </c>
      <c r="E126" s="5" t="inlineStr">
        <is>
          <t>Derived by the pipeline</t>
        </is>
      </c>
      <c r="F126" s="23" t="inlineStr">
        <is>
          <t>Expense ratio check</t>
        </is>
      </c>
      <c r="G126" s="23" t="inlineStr">
        <is>
          <t>yes</t>
        </is>
      </c>
      <c r="H126" s="23" t="inlineStr">
        <is>
          <t>—</t>
        </is>
      </c>
    </row>
    <row r="127">
      <c r="A127" s="5" t="inlineStr">
        <is>
          <t>T-12 structure</t>
        </is>
      </c>
      <c r="B127" s="5" t="inlineStr">
        <is>
          <t>breakout_top4</t>
        </is>
      </c>
      <c r="C127" s="5" t="inlineStr">
        <is>
          <t>table</t>
        </is>
      </c>
      <c r="D127" s="23" t="inlineStr">
        <is>
          <t>For other income, utility reimbursements, and utilities: the four largest constituent lines plus a Rest row, tying to the rollup.</t>
        </is>
      </c>
      <c r="E127" s="5" t="inlineStr">
        <is>
          <t>Derived by the pipeline</t>
        </is>
      </c>
      <c r="F127" s="23" t="inlineStr">
        <is>
          <t>Other-income / utility detail</t>
        </is>
      </c>
      <c r="G127" s="23" t="inlineStr">
        <is>
          <t>yes</t>
        </is>
      </c>
      <c r="H127" s="23" t="inlineStr">
        <is>
          <t>—</t>
        </is>
      </c>
    </row>
    <row r="128">
      <c r="A128" s="5" t="inlineStr">
        <is>
          <t>T-12 structure</t>
        </is>
      </c>
      <c r="B128" s="5" t="inlineStr">
        <is>
          <t>source_subtotal</t>
        </is>
      </c>
      <c r="C128" s="5" t="inlineStr">
        <is>
          <t>currency</t>
        </is>
      </c>
      <c r="D128" s="23" t="inlineStr">
        <is>
          <t>A subtotal as printed on the source statement, kept for the cross-tie.</t>
        </is>
      </c>
      <c r="E128" s="5" t="inlineStr">
        <is>
          <t>Trailing-twelve-month income statement</t>
        </is>
      </c>
      <c r="F128" s="23" t="inlineStr">
        <is>
          <t>Reference only — not a model input</t>
        </is>
      </c>
      <c r="G128" s="23" t="inlineStr">
        <is>
          <t>yes</t>
        </is>
      </c>
      <c r="H128" s="23" t="inlineStr">
        <is>
          <t>—</t>
        </is>
      </c>
    </row>
    <row r="129">
      <c r="A129" s="5" t="inlineStr">
        <is>
          <t>T-12 structure</t>
        </is>
      </c>
      <c r="B129" s="5" t="inlineStr">
        <is>
          <t>error_check_difference</t>
        </is>
      </c>
      <c r="C129" s="5" t="inlineStr">
        <is>
          <t>currency</t>
        </is>
      </c>
      <c r="D129" s="23" t="inlineStr">
        <is>
          <t>Our category total less the source's printed subtotal. Anything over a dollar reads REVIEW rather than quietly passing.</t>
        </is>
      </c>
      <c r="E129" s="5" t="inlineStr">
        <is>
          <t>Derived by the pipeline</t>
        </is>
      </c>
      <c r="F129" s="23" t="inlineStr">
        <is>
          <t>Reference only — not a model input</t>
        </is>
      </c>
      <c r="G129" s="23" t="inlineStr">
        <is>
          <t>yes</t>
        </is>
      </c>
      <c r="H129" s="23" t="inlineStr">
        <is>
          <t>—</t>
        </is>
      </c>
    </row>
    <row r="130">
      <c r="A130" s="5" t="inlineStr">
        <is>
          <t>T-12 structure</t>
        </is>
      </c>
      <c r="B130" s="5" t="inlineStr">
        <is>
          <t>absent_reason</t>
        </is>
      </c>
      <c r="C130" s="5" t="inlineStr">
        <is>
          <t>text</t>
        </is>
      </c>
      <c r="D130" s="23" t="inlineStr">
        <is>
          <t>Why the T-12 section is empty, when no trailing-twelve statement was supplied. Twelve months of zeroes would validate and read as a property that earned nothing; a stated reason cannot be mistaken for one.</t>
        </is>
      </c>
      <c r="E130" s="5" t="inlineStr">
        <is>
          <t>Derived by the pipeline</t>
        </is>
      </c>
      <c r="F130" s="23" t="inlineStr">
        <is>
          <t>Reference only — not a model input</t>
        </is>
      </c>
      <c r="G130" s="23" t="inlineStr">
        <is>
          <t>yes</t>
        </is>
      </c>
      <c r="H130" s="23" t="inlineStr">
        <is>
          <t>—</t>
        </is>
      </c>
    </row>
    <row r="131">
      <c r="A131" s="4" t="inlineStr">
        <is>
          <t>Rent roll — unit</t>
        </is>
      </c>
      <c r="B131" s="4" t="n"/>
      <c r="C131" s="4" t="n"/>
      <c r="D131" s="4" t="n"/>
      <c r="E131" s="4" t="n"/>
      <c r="F131" s="4" t="n"/>
      <c r="G131" s="4" t="n"/>
      <c r="H131" s="4" t="n"/>
    </row>
    <row r="132">
      <c r="A132" s="5" t="inlineStr">
        <is>
          <t>Rent roll — unit</t>
        </is>
      </c>
      <c r="B132" s="5" t="inlineStr">
        <is>
          <t>unit_id</t>
        </is>
      </c>
      <c r="C132" s="5" t="inlineStr">
        <is>
          <t>text</t>
        </is>
      </c>
      <c r="D132" s="23" t="inlineStr">
        <is>
          <t>Unit identifier. The output carries unit IDs only; no tenant-name column exists in the schema.</t>
        </is>
      </c>
      <c r="E132" s="5" t="inlineStr">
        <is>
          <t>Rent roll export</t>
        </is>
      </c>
      <c r="F132" s="23" t="inlineStr">
        <is>
          <t>Unit list</t>
        </is>
      </c>
      <c r="G132" s="23" t="inlineStr">
        <is>
          <t>yes</t>
        </is>
      </c>
      <c r="H132" s="23" t="inlineStr">
        <is>
          <t>101</t>
        </is>
      </c>
    </row>
    <row r="133">
      <c r="A133" s="5" t="inlineStr">
        <is>
          <t>Rent roll — unit</t>
        </is>
      </c>
      <c r="B133" s="5" t="inlineStr">
        <is>
          <t>floor_plan</t>
        </is>
      </c>
      <c r="C133" s="5" t="inlineStr">
        <is>
          <t>text</t>
        </is>
      </c>
      <c r="D133" s="23" t="inlineStr">
        <is>
          <t>Floor-plan code the unit belongs to.</t>
        </is>
      </c>
      <c r="E133" s="5" t="inlineStr">
        <is>
          <t>Rent roll export</t>
        </is>
      </c>
      <c r="F133" s="23" t="inlineStr">
        <is>
          <t>Unit mix</t>
        </is>
      </c>
      <c r="G133" s="23" t="inlineStr">
        <is>
          <t>yes</t>
        </is>
      </c>
      <c r="H133" s="23" t="inlineStr">
        <is>
          <t>A1</t>
        </is>
      </c>
    </row>
    <row r="134">
      <c r="A134" s="5" t="inlineStr">
        <is>
          <t>Rent roll — unit</t>
        </is>
      </c>
      <c r="B134" s="5" t="inlineStr">
        <is>
          <t>beds</t>
        </is>
      </c>
      <c r="C134" s="5" t="inlineStr">
        <is>
          <t>number</t>
        </is>
      </c>
      <c r="D134" s="23" t="inlineStr">
        <is>
          <t>Bedrooms.</t>
        </is>
      </c>
      <c r="E134" s="5" t="inlineStr">
        <is>
          <t>Rent roll export</t>
        </is>
      </c>
      <c r="F134" s="23" t="inlineStr">
        <is>
          <t>Unit mix</t>
        </is>
      </c>
      <c r="G134" s="23" t="inlineStr">
        <is>
          <t>yes</t>
        </is>
      </c>
      <c r="H134" s="23" t="inlineStr">
        <is>
          <t>2.0</t>
        </is>
      </c>
    </row>
    <row r="135">
      <c r="A135" s="5" t="inlineStr">
        <is>
          <t>Rent roll — unit</t>
        </is>
      </c>
      <c r="B135" s="5" t="inlineStr">
        <is>
          <t>baths</t>
        </is>
      </c>
      <c r="C135" s="5" t="inlineStr">
        <is>
          <t>number</t>
        </is>
      </c>
      <c r="D135" s="23" t="inlineStr">
        <is>
          <t>Bathrooms.</t>
        </is>
      </c>
      <c r="E135" s="5" t="inlineStr">
        <is>
          <t>Rent roll export</t>
        </is>
      </c>
      <c r="F135" s="23" t="inlineStr">
        <is>
          <t>Unit mix</t>
        </is>
      </c>
      <c r="G135" s="23" t="inlineStr">
        <is>
          <t>yes</t>
        </is>
      </c>
      <c r="H135" s="23" t="inlineStr">
        <is>
          <t>2.0</t>
        </is>
      </c>
    </row>
    <row r="136">
      <c r="A136" s="5" t="inlineStr">
        <is>
          <t>Rent roll — unit</t>
        </is>
      </c>
      <c r="B136" s="5" t="inlineStr">
        <is>
          <t>sqft</t>
        </is>
      </c>
      <c r="C136" s="5" t="inlineStr">
        <is>
          <t>number</t>
        </is>
      </c>
      <c r="D136" s="23" t="inlineStr">
        <is>
          <t>Square footage.</t>
        </is>
      </c>
      <c r="E136" s="5" t="inlineStr">
        <is>
          <t>Rent roll export</t>
        </is>
      </c>
      <c r="F136" s="23" t="inlineStr">
        <is>
          <t>Unit mix</t>
        </is>
      </c>
      <c r="G136" s="23" t="inlineStr">
        <is>
          <t>yes</t>
        </is>
      </c>
      <c r="H136" s="23" t="inlineStr">
        <is>
          <t>1,150.0</t>
        </is>
      </c>
    </row>
    <row r="137">
      <c r="A137" s="5" t="inlineStr">
        <is>
          <t>Rent roll — unit</t>
        </is>
      </c>
      <c r="B137" s="5" t="inlineStr">
        <is>
          <t>status</t>
        </is>
      </c>
      <c r="C137" s="5" t="inlineStr">
        <is>
          <t>text</t>
        </is>
      </c>
      <c r="D137" s="23" t="inlineStr">
        <is>
          <t>Occupied, vacant, or model/down.</t>
        </is>
      </c>
      <c r="E137" s="5" t="inlineStr">
        <is>
          <t>Rent roll export</t>
        </is>
      </c>
      <c r="F137" s="23" t="inlineStr">
        <is>
          <t>Occupancy</t>
        </is>
      </c>
      <c r="G137" s="23" t="inlineStr">
        <is>
          <t>yes</t>
        </is>
      </c>
      <c r="H137" s="23" t="inlineStr">
        <is>
          <t>Occupied</t>
        </is>
      </c>
    </row>
    <row r="138">
      <c r="A138" s="5" t="inlineStr">
        <is>
          <t>Rent roll — unit</t>
        </is>
      </c>
      <c r="B138" s="5" t="inlineStr">
        <is>
          <t>lease_start</t>
        </is>
      </c>
      <c r="C138" s="5" t="inlineStr">
        <is>
          <t>date</t>
        </is>
      </c>
      <c r="D138" s="23" t="inlineStr">
        <is>
          <t>Lease start. A value the source gave as text stays text — a date that arrives as 'n/a' is not coerced into 1899.</t>
        </is>
      </c>
      <c r="E138" s="5" t="inlineStr">
        <is>
          <t>Rent roll export</t>
        </is>
      </c>
      <c r="F138" s="23" t="inlineStr">
        <is>
          <t>Reference only — not a model input</t>
        </is>
      </c>
      <c r="G138" s="23" t="inlineStr">
        <is>
          <t>yes</t>
        </is>
      </c>
      <c r="H138" s="23" t="inlineStr">
        <is>
          <t>2024-01-15</t>
        </is>
      </c>
    </row>
    <row r="139">
      <c r="A139" s="5" t="inlineStr">
        <is>
          <t>Rent roll — unit</t>
        </is>
      </c>
      <c r="B139" s="5" t="inlineStr">
        <is>
          <t>move_in</t>
        </is>
      </c>
      <c r="C139" s="5" t="inlineStr">
        <is>
          <t>date</t>
        </is>
      </c>
      <c r="D139" s="23" t="inlineStr">
        <is>
          <t>Move-in date. Turnover is counted by move-in, not by lease start.</t>
        </is>
      </c>
      <c r="E139" s="5" t="inlineStr">
        <is>
          <t>Rent roll export</t>
        </is>
      </c>
      <c r="F139" s="23" t="inlineStr">
        <is>
          <t>Turnover</t>
        </is>
      </c>
      <c r="G139" s="23" t="inlineStr">
        <is>
          <t>yes</t>
        </is>
      </c>
      <c r="H139" s="23" t="inlineStr">
        <is>
          <t>2024-01-15</t>
        </is>
      </c>
    </row>
    <row r="140">
      <c r="A140" s="5" t="inlineStr">
        <is>
          <t>Rent roll — unit</t>
        </is>
      </c>
      <c r="B140" s="5" t="inlineStr">
        <is>
          <t>lease_type</t>
        </is>
      </c>
      <c r="C140" s="5" t="inlineStr">
        <is>
          <t>text</t>
        </is>
      </c>
      <c r="D140" s="23" t="inlineStr">
        <is>
          <t>New, Renewal, or blank. Blank means the source could not support a classification — never a guess, never a blend.</t>
        </is>
      </c>
      <c r="E140" s="5" t="inlineStr">
        <is>
          <t>Derived by the pipeline</t>
        </is>
      </c>
      <c r="F140" s="23" t="inlineStr">
        <is>
          <t>New-vs-renewal split</t>
        </is>
      </c>
      <c r="G140" s="23" t="inlineStr">
        <is>
          <t>yes</t>
        </is>
      </c>
      <c r="H140" s="23" t="inlineStr">
        <is>
          <t>—</t>
        </is>
      </c>
    </row>
    <row r="141">
      <c r="A141" s="5" t="inlineStr">
        <is>
          <t>Rent roll — unit</t>
        </is>
      </c>
      <c r="B141" s="5" t="inlineStr">
        <is>
          <t>in_place_rent</t>
        </is>
      </c>
      <c r="C141" s="5" t="inlineStr">
        <is>
          <t>currency</t>
        </is>
      </c>
      <c r="D141" s="23" t="inlineStr">
        <is>
          <t>Contract rent in place.</t>
        </is>
      </c>
      <c r="E141" s="5" t="inlineStr">
        <is>
          <t>Rent roll export</t>
        </is>
      </c>
      <c r="F141" s="23" t="inlineStr">
        <is>
          <t>In-place rent</t>
        </is>
      </c>
      <c r="G141" s="23" t="inlineStr">
        <is>
          <t>yes</t>
        </is>
      </c>
      <c r="H141" s="23" t="inlineStr">
        <is>
          <t>$2,090</t>
        </is>
      </c>
    </row>
    <row r="142">
      <c r="A142" s="5" t="inlineStr">
        <is>
          <t>Rent roll — unit</t>
        </is>
      </c>
      <c r="B142" s="5" t="inlineStr">
        <is>
          <t>rent_per_sf</t>
        </is>
      </c>
      <c r="C142" s="5" t="inlineStr">
        <is>
          <t>currency</t>
        </is>
      </c>
      <c r="D142" s="23" t="inlineStr">
        <is>
          <t>In-place rent divided by square footage.</t>
        </is>
      </c>
      <c r="E142" s="5" t="inlineStr">
        <is>
          <t>Derived by the pipeline</t>
        </is>
      </c>
      <c r="F142" s="23" t="inlineStr">
        <is>
          <t>Rent per square foot</t>
        </is>
      </c>
      <c r="G142" s="23" t="inlineStr">
        <is>
          <t>yes</t>
        </is>
      </c>
      <c r="H142" s="23" t="inlineStr">
        <is>
          <t>—</t>
        </is>
      </c>
    </row>
    <row r="143">
      <c r="A143" s="4" t="inlineStr">
        <is>
          <t>Rent roll — plan</t>
        </is>
      </c>
      <c r="B143" s="4" t="n"/>
      <c r="C143" s="4" t="n"/>
      <c r="D143" s="4" t="n"/>
      <c r="E143" s="4" t="n"/>
      <c r="F143" s="4" t="n"/>
      <c r="G143" s="4" t="n"/>
      <c r="H143" s="4" t="n"/>
    </row>
    <row r="144">
      <c r="A144" s="5" t="inlineStr">
        <is>
          <t>Rent roll — plan</t>
        </is>
      </c>
      <c r="B144" s="5" t="inlineStr">
        <is>
          <t>plan_avg_sqft</t>
        </is>
      </c>
      <c r="C144" s="5" t="inlineStr">
        <is>
          <t>number</t>
        </is>
      </c>
      <c r="D144" s="23" t="inlineStr">
        <is>
          <t>Average square footage for the plan.</t>
        </is>
      </c>
      <c r="E144" s="5" t="inlineStr">
        <is>
          <t>Derived by the pipeline</t>
        </is>
      </c>
      <c r="F144" s="23" t="inlineStr">
        <is>
          <t>Unit mix — average SF</t>
        </is>
      </c>
      <c r="G144" s="23" t="inlineStr">
        <is>
          <t>yes</t>
        </is>
      </c>
      <c r="H144" s="23" t="inlineStr">
        <is>
          <t>—</t>
        </is>
      </c>
    </row>
    <row r="145">
      <c r="A145" s="5" t="inlineStr">
        <is>
          <t>Rent roll — plan</t>
        </is>
      </c>
      <c r="B145" s="5" t="inlineStr">
        <is>
          <t>plan_units</t>
        </is>
      </c>
      <c r="C145" s="5" t="inlineStr">
        <is>
          <t>integer</t>
        </is>
      </c>
      <c r="D145" s="23" t="inlineStr">
        <is>
          <t>Units in the plan.</t>
        </is>
      </c>
      <c r="E145" s="5" t="inlineStr">
        <is>
          <t>Derived by the pipeline</t>
        </is>
      </c>
      <c r="F145" s="23" t="inlineStr">
        <is>
          <t>Unit mix — count</t>
        </is>
      </c>
      <c r="G145" s="23" t="inlineStr">
        <is>
          <t>yes</t>
        </is>
      </c>
      <c r="H145" s="23" t="inlineStr">
        <is>
          <t>—</t>
        </is>
      </c>
    </row>
    <row r="146">
      <c r="A146" s="5" t="inlineStr">
        <is>
          <t>Rent roll — plan</t>
        </is>
      </c>
      <c r="B146" s="5" t="inlineStr">
        <is>
          <t>plan_occupied</t>
        </is>
      </c>
      <c r="C146" s="5" t="inlineStr">
        <is>
          <t>integer</t>
        </is>
      </c>
      <c r="D146" s="23" t="inlineStr">
        <is>
          <t>Occupied units in the plan.</t>
        </is>
      </c>
      <c r="E146" s="5" t="inlineStr">
        <is>
          <t>Derived by the pipeline</t>
        </is>
      </c>
      <c r="F146" s="23" t="inlineStr">
        <is>
          <t>Occupancy by plan</t>
        </is>
      </c>
      <c r="G146" s="23" t="inlineStr">
        <is>
          <t>yes</t>
        </is>
      </c>
      <c r="H146" s="23" t="inlineStr">
        <is>
          <t>—</t>
        </is>
      </c>
    </row>
    <row r="147">
      <c r="A147" s="5" t="inlineStr">
        <is>
          <t>Rent roll — plan</t>
        </is>
      </c>
      <c r="B147" s="5" t="inlineStr">
        <is>
          <t>plan_vacant</t>
        </is>
      </c>
      <c r="C147" s="5" t="inlineStr">
        <is>
          <t>integer</t>
        </is>
      </c>
      <c r="D147" s="23" t="inlineStr">
        <is>
          <t>Vacant units in the plan.</t>
        </is>
      </c>
      <c r="E147" s="5" t="inlineStr">
        <is>
          <t>Derived by the pipeline</t>
        </is>
      </c>
      <c r="F147" s="23" t="inlineStr">
        <is>
          <t>Occupancy by plan</t>
        </is>
      </c>
      <c r="G147" s="23" t="inlineStr">
        <is>
          <t>yes</t>
        </is>
      </c>
      <c r="H147" s="23" t="inlineStr">
        <is>
          <t>—</t>
        </is>
      </c>
    </row>
    <row r="148">
      <c r="A148" s="5" t="inlineStr">
        <is>
          <t>Rent roll — plan</t>
        </is>
      </c>
      <c r="B148" s="5" t="inlineStr">
        <is>
          <t>plan_avg_in_place_rent</t>
        </is>
      </c>
      <c r="C148" s="5" t="inlineStr">
        <is>
          <t>currency</t>
        </is>
      </c>
      <c r="D148" s="23" t="inlineStr">
        <is>
          <t>Weighted average in-place rent for the plan's occupied units.</t>
        </is>
      </c>
      <c r="E148" s="5" t="inlineStr">
        <is>
          <t>Derived by the pipeline</t>
        </is>
      </c>
      <c r="F148" s="23" t="inlineStr">
        <is>
          <t>In-place rent by plan</t>
        </is>
      </c>
      <c r="G148" s="23" t="inlineStr">
        <is>
          <t>yes</t>
        </is>
      </c>
      <c r="H148" s="23" t="inlineStr">
        <is>
          <t>—</t>
        </is>
      </c>
    </row>
    <row r="149">
      <c r="A149" s="5" t="inlineStr">
        <is>
          <t>Rent roll — plan</t>
        </is>
      </c>
      <c r="B149" s="5" t="inlineStr">
        <is>
          <t>plan_signed_rent</t>
        </is>
      </c>
      <c r="C149" s="5" t="inlineStr">
        <is>
          <t>currency</t>
        </is>
      </c>
      <c r="D149" s="23" t="inlineStr">
        <is>
          <t>Average rent on every priced, CLASSIFIED lease start (new, renewal or month-to-month) inside the lookback window; a lease the roll cannot classify is left out, so this can undercount. Context only: a blend never feeds the model.</t>
        </is>
      </c>
      <c r="E149" s="5" t="inlineStr">
        <is>
          <t>Derived by the pipeline</t>
        </is>
      </c>
      <c r="F149" s="23" t="inlineStr">
        <is>
          <t>Leases signed</t>
        </is>
      </c>
      <c r="G149" s="23" t="inlineStr">
        <is>
          <t>yes</t>
        </is>
      </c>
      <c r="H149" s="23" t="inlineStr">
        <is>
          <t>—</t>
        </is>
      </c>
    </row>
    <row r="150">
      <c r="A150" s="5" t="inlineStr">
        <is>
          <t>Rent roll — plan</t>
        </is>
      </c>
      <c r="B150" s="5" t="inlineStr">
        <is>
          <t>plan_signed_count</t>
        </is>
      </c>
      <c r="C150" s="5" t="inlineStr">
        <is>
          <t>integer</t>
        </is>
      </c>
      <c r="D150" s="23" t="inlineStr">
        <is>
          <t>How many leases were signed in the window. n/a where the roll has no usable lease-start or move-in date.</t>
        </is>
      </c>
      <c r="E150" s="5" t="inlineStr">
        <is>
          <t>Derived by the pipeline</t>
        </is>
      </c>
      <c r="F150" s="23" t="inlineStr">
        <is>
          <t>Sample size</t>
        </is>
      </c>
      <c r="G150" s="23" t="inlineStr">
        <is>
          <t>yes</t>
        </is>
      </c>
      <c r="H150" s="23" t="inlineStr">
        <is>
          <t>—</t>
        </is>
      </c>
    </row>
    <row r="151">
      <c r="A151" s="5" t="inlineStr">
        <is>
          <t>Rent roll — plan</t>
        </is>
      </c>
      <c r="B151" s="5" t="inlineStr">
        <is>
          <t>plan_movein_rent</t>
        </is>
      </c>
      <c r="C151" s="5" t="inlineStr">
        <is>
          <t>currency</t>
        </is>
      </c>
      <c r="D151" s="23" t="inlineStr">
        <is>
          <t>Average rent of residents whose move-in date falls inside the lookback window, whatever their lease type.</t>
        </is>
      </c>
      <c r="E151" s="5" t="inlineStr">
        <is>
          <t>Derived by the pipeline</t>
        </is>
      </c>
      <c r="F151" s="23" t="inlineStr">
        <is>
          <t>New move-in rent evidence</t>
        </is>
      </c>
      <c r="G151" s="23" t="inlineStr">
        <is>
          <t>yes</t>
        </is>
      </c>
      <c r="H151" s="23" t="inlineStr">
        <is>
          <t>—</t>
        </is>
      </c>
    </row>
    <row r="152">
      <c r="A152" s="5" t="inlineStr">
        <is>
          <t>Rent roll — plan</t>
        </is>
      </c>
      <c r="B152" s="5" t="inlineStr">
        <is>
          <t>plan_movein_count</t>
        </is>
      </c>
      <c r="C152" s="5" t="inlineStr">
        <is>
          <t>integer</t>
        </is>
      </c>
      <c r="D152" s="23" t="inlineStr">
        <is>
          <t>How many move-ins the average rests on. A thin count is visible rather than implied.</t>
        </is>
      </c>
      <c r="E152" s="5" t="inlineStr">
        <is>
          <t>Derived by the pipeline</t>
        </is>
      </c>
      <c r="F152" s="23" t="inlineStr">
        <is>
          <t>Sample size</t>
        </is>
      </c>
      <c r="G152" s="23" t="inlineStr">
        <is>
          <t>yes</t>
        </is>
      </c>
      <c r="H152" s="23" t="inlineStr">
        <is>
          <t>—</t>
        </is>
      </c>
    </row>
    <row r="153">
      <c r="A153" s="5" t="inlineStr">
        <is>
          <t>Rent roll — plan</t>
        </is>
      </c>
      <c r="B153" s="5" t="inlineStr">
        <is>
          <t>plan_market_rent_for_model</t>
        </is>
      </c>
      <c r="C153" s="5" t="inlineStr">
        <is>
          <t>currency</t>
        </is>
      </c>
      <c r="D153" s="23" t="inlineStr">
        <is>
          <t>The plan's rent to underwrite: new move-in rent where one exists, otherwise in-place. This is the column a financial model consumes.</t>
        </is>
      </c>
      <c r="E153" s="5" t="inlineStr">
        <is>
          <t>Derived by the pipeline</t>
        </is>
      </c>
      <c r="F153" s="23" t="inlineStr">
        <is>
          <t>Unit-mix market rent</t>
        </is>
      </c>
      <c r="G153" s="23" t="inlineStr">
        <is>
          <t>yes</t>
        </is>
      </c>
      <c r="H153" s="23" t="inlineStr">
        <is>
          <t>—</t>
        </is>
      </c>
    </row>
    <row r="154">
      <c r="A154" s="5" t="inlineStr">
        <is>
          <t>Rent roll — plan</t>
        </is>
      </c>
      <c r="B154" s="5" t="inlineStr">
        <is>
          <t>plan_market_rent_basis</t>
        </is>
      </c>
      <c r="C154" s="5" t="inlineStr">
        <is>
          <t>text</t>
        </is>
      </c>
      <c r="D154" s="23" t="inlineStr">
        <is>
          <t>Which of the two fired, stated per plan.</t>
        </is>
      </c>
      <c r="E154" s="5" t="inlineStr">
        <is>
          <t>Derived by the pipeline</t>
        </is>
      </c>
      <c r="F154" s="23" t="inlineStr">
        <is>
          <t>Reference only — not a model input</t>
        </is>
      </c>
      <c r="G154" s="23" t="inlineStr">
        <is>
          <t>yes</t>
        </is>
      </c>
      <c r="H154" s="23" t="inlineStr">
        <is>
          <t>—</t>
        </is>
      </c>
    </row>
    <row r="155">
      <c r="A155" s="4" t="inlineStr">
        <is>
          <t>Rent roll — totals</t>
        </is>
      </c>
      <c r="B155" s="4" t="n"/>
      <c r="C155" s="4" t="n"/>
      <c r="D155" s="4" t="n"/>
      <c r="E155" s="4" t="n"/>
      <c r="F155" s="4" t="n"/>
      <c r="G155" s="4" t="n"/>
      <c r="H155" s="4" t="n"/>
    </row>
    <row r="156">
      <c r="A156" s="5" t="inlineStr">
        <is>
          <t>Rent roll — totals</t>
        </is>
      </c>
      <c r="B156" s="5" t="inlineStr">
        <is>
          <t>reconciliation_verdict</t>
        </is>
      </c>
      <c r="C156" s="5" t="inlineStr">
        <is>
          <t>text</t>
        </is>
      </c>
      <c r="D156" s="23" t="inlineStr">
        <is>
          <t>PASS, FAIL or NOT CHECKED: the unit count (tolerance 0) and the export's stated market-rent total (tolerance $1) against what the export states, every duplicate row retaining the in-place lease, and no rent-readback mismatch.</t>
        </is>
      </c>
      <c r="E156" s="5" t="inlineStr">
        <is>
          <t>Derived by the pipeline</t>
        </is>
      </c>
      <c r="F156" s="23" t="inlineStr">
        <is>
          <t>Gate — the pack is partial until PASS</t>
        </is>
      </c>
      <c r="G156" s="23" t="inlineStr">
        <is>
          <t>yes</t>
        </is>
      </c>
      <c r="H156" s="23" t="inlineStr">
        <is>
          <t>—</t>
        </is>
      </c>
    </row>
    <row r="157">
      <c r="A157" s="5" t="inlineStr">
        <is>
          <t>Rent roll — totals</t>
        </is>
      </c>
      <c r="B157" s="5" t="inlineStr">
        <is>
          <t>total_units</t>
        </is>
      </c>
      <c r="C157" s="5" t="inlineStr">
        <is>
          <t>integer</t>
        </is>
      </c>
      <c r="D157" s="23" t="inlineStr">
        <is>
          <t>Units on the roll.</t>
        </is>
      </c>
      <c r="E157" s="5" t="inlineStr">
        <is>
          <t>Derived by the pipeline</t>
        </is>
      </c>
      <c r="F157" s="23" t="inlineStr">
        <is>
          <t>Unit count cross-check</t>
        </is>
      </c>
      <c r="G157" s="23" t="inlineStr">
        <is>
          <t>yes</t>
        </is>
      </c>
      <c r="H157" s="23" t="inlineStr">
        <is>
          <t>—</t>
        </is>
      </c>
    </row>
    <row r="158">
      <c r="A158" s="5" t="inlineStr">
        <is>
          <t>Rent roll — totals</t>
        </is>
      </c>
      <c r="B158" s="5" t="inlineStr">
        <is>
          <t>occupied_units</t>
        </is>
      </c>
      <c r="C158" s="5" t="inlineStr">
        <is>
          <t>integer</t>
        </is>
      </c>
      <c r="D158" s="23" t="inlineStr">
        <is>
          <t>Occupied units.</t>
        </is>
      </c>
      <c r="E158" s="5" t="inlineStr">
        <is>
          <t>Derived by the pipeline</t>
        </is>
      </c>
      <c r="F158" s="23" t="inlineStr">
        <is>
          <t>Occupancy</t>
        </is>
      </c>
      <c r="G158" s="23" t="inlineStr">
        <is>
          <t>yes</t>
        </is>
      </c>
      <c r="H158" s="23" t="inlineStr">
        <is>
          <t>—</t>
        </is>
      </c>
    </row>
    <row r="159">
      <c r="A159" s="5" t="inlineStr">
        <is>
          <t>Rent roll — totals</t>
        </is>
      </c>
      <c r="B159" s="5" t="inlineStr">
        <is>
          <t>vacant_units</t>
        </is>
      </c>
      <c r="C159" s="5" t="inlineStr">
        <is>
          <t>integer</t>
        </is>
      </c>
      <c r="D159" s="23" t="inlineStr">
        <is>
          <t>Vacant units.</t>
        </is>
      </c>
      <c r="E159" s="5" t="inlineStr">
        <is>
          <t>Derived by the pipeline</t>
        </is>
      </c>
      <c r="F159" s="23" t="inlineStr">
        <is>
          <t>Occupancy</t>
        </is>
      </c>
      <c r="G159" s="23" t="inlineStr">
        <is>
          <t>yes</t>
        </is>
      </c>
      <c r="H159" s="23" t="inlineStr">
        <is>
          <t>—</t>
        </is>
      </c>
    </row>
    <row r="160">
      <c r="A160" s="5" t="inlineStr">
        <is>
          <t>Rent roll — totals</t>
        </is>
      </c>
      <c r="B160" s="5" t="inlineStr">
        <is>
          <t>occupancy</t>
        </is>
      </c>
      <c r="C160" s="5" t="inlineStr">
        <is>
          <t>percent</t>
        </is>
      </c>
      <c r="D160" s="23" t="inlineStr">
        <is>
          <t>Occupied over total.</t>
        </is>
      </c>
      <c r="E160" s="5" t="inlineStr">
        <is>
          <t>Derived by the pipeline</t>
        </is>
      </c>
      <c r="F160" s="23" t="inlineStr">
        <is>
          <t>Vacancy assumption</t>
        </is>
      </c>
      <c r="G160" s="23" t="inlineStr">
        <is>
          <t>yes</t>
        </is>
      </c>
      <c r="H160" s="23" t="inlineStr">
        <is>
          <t>—</t>
        </is>
      </c>
    </row>
    <row r="161">
      <c r="A161" s="5" t="inlineStr">
        <is>
          <t>Rent roll — totals</t>
        </is>
      </c>
      <c r="B161" s="5" t="inlineStr">
        <is>
          <t>vacancy</t>
        </is>
      </c>
      <c r="C161" s="5" t="inlineStr">
        <is>
          <t>percent</t>
        </is>
      </c>
      <c r="D161" s="23" t="inlineStr">
        <is>
          <t>One less occupancy. The physical-vacancy input.</t>
        </is>
      </c>
      <c r="E161" s="5" t="inlineStr">
        <is>
          <t>Derived by the pipeline</t>
        </is>
      </c>
      <c r="F161" s="23" t="inlineStr">
        <is>
          <t>Vacancy assumption</t>
        </is>
      </c>
      <c r="G161" s="23" t="inlineStr">
        <is>
          <t>yes</t>
        </is>
      </c>
      <c r="H161" s="23" t="inlineStr">
        <is>
          <t>—</t>
        </is>
      </c>
    </row>
    <row r="162">
      <c r="A162" s="5" t="inlineStr">
        <is>
          <t>Rent roll — totals</t>
        </is>
      </c>
      <c r="B162" s="5" t="inlineStr">
        <is>
          <t>wavg_in_place_rent</t>
        </is>
      </c>
      <c r="C162" s="5" t="inlineStr">
        <is>
          <t>currency</t>
        </is>
      </c>
      <c r="D162" s="23" t="inlineStr">
        <is>
          <t>Mean contract rent over the occupied units with a stated contract rent (vacant units carry no in-place rent; an occupied unit with no stated rent is left out, not counted as zero).</t>
        </is>
      </c>
      <c r="E162" s="5" t="inlineStr">
        <is>
          <t>Derived by the pipeline</t>
        </is>
      </c>
      <c r="F162" s="23" t="inlineStr">
        <is>
          <t>In-place rent</t>
        </is>
      </c>
      <c r="G162" s="23" t="inlineStr">
        <is>
          <t>yes</t>
        </is>
      </c>
      <c r="H162" s="23" t="inlineStr">
        <is>
          <t>—</t>
        </is>
      </c>
    </row>
    <row r="163">
      <c r="A163" s="5" t="inlineStr">
        <is>
          <t>Rent roll — totals</t>
        </is>
      </c>
      <c r="B163" s="5" t="inlineStr">
        <is>
          <t>wavg_market_rent_for_model</t>
        </is>
      </c>
      <c r="C163" s="5" t="inlineStr">
        <is>
          <t>currency</t>
        </is>
      </c>
      <c r="D163" s="23" t="inlineStr">
        <is>
          <t>Unit-weighted market rent for model across the property.</t>
        </is>
      </c>
      <c r="E163" s="5" t="inlineStr">
        <is>
          <t>Derived by the pipeline</t>
        </is>
      </c>
      <c r="F163" s="23" t="inlineStr">
        <is>
          <t>Market rent</t>
        </is>
      </c>
      <c r="G163" s="23" t="inlineStr">
        <is>
          <t>yes</t>
        </is>
      </c>
      <c r="H163" s="23" t="inlineStr">
        <is>
          <t>—</t>
        </is>
      </c>
    </row>
    <row r="164">
      <c r="A164" s="5" t="inlineStr">
        <is>
          <t>Rent roll — totals</t>
        </is>
      </c>
      <c r="B164" s="5" t="inlineStr">
        <is>
          <t>annualized_turnover</t>
        </is>
      </c>
      <c r="C164" s="5" t="inlineStr">
        <is>
          <t>percent</t>
        </is>
      </c>
      <c r="D164" s="23" t="inlineStr">
        <is>
          <t>Move-ins inside the lookback window, annualized against unit count.</t>
        </is>
      </c>
      <c r="E164" s="5" t="inlineStr">
        <is>
          <t>Derived by the pipeline</t>
        </is>
      </c>
      <c r="F164" s="23" t="inlineStr">
        <is>
          <t>Turnover assumption</t>
        </is>
      </c>
      <c r="G164" s="23" t="inlineStr">
        <is>
          <t>yes</t>
        </is>
      </c>
      <c r="H164" s="23" t="inlineStr">
        <is>
          <t>—</t>
        </is>
      </c>
    </row>
    <row r="165">
      <c r="A165" s="5" t="inlineStr">
        <is>
          <t>Rent roll — totals</t>
        </is>
      </c>
      <c r="B165" s="5" t="inlineStr">
        <is>
          <t>lookback_months</t>
        </is>
      </c>
      <c r="C165" s="5" t="inlineStr">
        <is>
          <t>integer</t>
        </is>
      </c>
      <c r="D165" s="23" t="inlineStr">
        <is>
          <t>Length of the move-in and lease-signed window, measured back from the roll's as-of date.</t>
        </is>
      </c>
      <c r="E165" s="5" t="inlineStr">
        <is>
          <t>Supplied by the operator</t>
        </is>
      </c>
      <c r="F165" s="23" t="inlineStr">
        <is>
          <t>Reference only — not a model input</t>
        </is>
      </c>
      <c r="G165" s="23" t="inlineStr">
        <is>
          <t>yes</t>
        </is>
      </c>
      <c r="H165" s="23" t="inlineStr">
        <is>
          <t>12</t>
        </is>
      </c>
    </row>
    <row r="166">
      <c r="A166" s="5" t="inlineStr">
        <is>
          <t>Rent roll — totals</t>
        </is>
      </c>
      <c r="B166" s="5" t="inlineStr">
        <is>
          <t>new_tenant_tolerance_days</t>
        </is>
      </c>
      <c r="C166" s="5" t="inlineStr">
        <is>
          <t>integer</t>
        </is>
      </c>
      <c r="D166" s="23" t="inlineStr">
        <is>
          <t>How far lease start may sit from move-in before a lease stops counting as a new tenant. A knob on the output, not a constant buried in code.</t>
        </is>
      </c>
      <c r="E166" s="5" t="inlineStr">
        <is>
          <t>Supplied by the operator</t>
        </is>
      </c>
      <c r="F166" s="23" t="inlineStr">
        <is>
          <t>Reference only — not a model input</t>
        </is>
      </c>
      <c r="G166" s="23" t="inlineStr">
        <is>
          <t>yes</t>
        </is>
      </c>
      <c r="H166" s="23" t="inlineStr">
        <is>
          <t>31</t>
        </is>
      </c>
    </row>
    <row r="167">
      <c r="A167" s="5" t="inlineStr">
        <is>
          <t>Rent roll — totals</t>
        </is>
      </c>
      <c r="B167" s="5" t="inlineStr">
        <is>
          <t>absent_reason</t>
        </is>
      </c>
      <c r="C167" s="5" t="inlineStr">
        <is>
          <t>text</t>
        </is>
      </c>
      <c r="D167" s="23" t="inlineStr">
        <is>
          <t>Why the rent-roll section is empty, when no roll was supplied. An empty block that says why is a deliverable; a block of zeroes is not.</t>
        </is>
      </c>
      <c r="E167" s="5" t="inlineStr">
        <is>
          <t>Derived by the pipeline</t>
        </is>
      </c>
      <c r="F167" s="23" t="inlineStr">
        <is>
          <t>Reference only — not a model input</t>
        </is>
      </c>
      <c r="G167" s="23" t="inlineStr">
        <is>
          <t>yes</t>
        </is>
      </c>
      <c r="H167" s="23" t="inlineStr">
        <is>
          <t>—</t>
        </is>
      </c>
    </row>
    <row r="168">
      <c r="A168" s="5" t="inlineStr">
        <is>
          <t>Rent roll — totals</t>
        </is>
      </c>
      <c r="B168" s="5" t="inlineStr">
        <is>
          <t>roll_as_of</t>
        </is>
      </c>
      <c r="C168" s="5" t="inlineStr">
        <is>
          <t>date</t>
        </is>
      </c>
      <c r="D168" s="23" t="inlineStr">
        <is>
          <t>As-of date of the roll. Every window is measured from here.</t>
        </is>
      </c>
      <c r="E168" s="5" t="inlineStr">
        <is>
          <t>Rent roll export</t>
        </is>
      </c>
      <c r="F168" s="23" t="inlineStr">
        <is>
          <t>Analysis date</t>
        </is>
      </c>
      <c r="G168" s="23" t="inlineStr">
        <is>
          <t>yes</t>
        </is>
      </c>
      <c r="H168" s="23" t="inlineStr">
        <is>
          <t>2025-11-12</t>
        </is>
      </c>
    </row>
    <row r="169">
      <c r="A169" s="4" t="inlineStr">
        <is>
          <t>Trade-out</t>
        </is>
      </c>
      <c r="B169" s="4" t="n"/>
      <c r="C169" s="4" t="n"/>
      <c r="D169" s="4" t="n"/>
      <c r="E169" s="4" t="n"/>
      <c r="F169" s="4" t="n"/>
      <c r="G169" s="4" t="n"/>
      <c r="H169" s="4" t="n"/>
    </row>
    <row r="170">
      <c r="A170" s="5" t="inlineStr">
        <is>
          <t>Trade-out</t>
        </is>
      </c>
      <c r="B170" s="5" t="inlineStr">
        <is>
          <t>cohort</t>
        </is>
      </c>
      <c r="C170" s="5" t="inlineStr">
        <is>
          <t>text</t>
        </is>
      </c>
      <c r="D170" s="23" t="inlineStr">
        <is>
          <t>New, Renewal, or First generation.</t>
        </is>
      </c>
      <c r="E170" s="5" t="inlineStr">
        <is>
          <t>Lease trade-out report</t>
        </is>
      </c>
      <c r="F170" s="23" t="inlineStr">
        <is>
          <t>New-vs-renewal growth evidence</t>
        </is>
      </c>
      <c r="G170" s="23" t="inlineStr">
        <is>
          <t>Internal pipeline only — The internal pipeline reads a lease trade-out report (new versus renewal rents); the demo does not ask for one.</t>
        </is>
      </c>
      <c r="H170" s="23" t="inlineStr">
        <is>
          <t>—</t>
        </is>
      </c>
    </row>
    <row r="171">
      <c r="A171" s="5" t="inlineStr">
        <is>
          <t>Trade-out</t>
        </is>
      </c>
      <c r="B171" s="5" t="inlineStr">
        <is>
          <t>cohort_leases</t>
        </is>
      </c>
      <c r="C171" s="5" t="inlineStr">
        <is>
          <t>integer</t>
        </is>
      </c>
      <c r="D171" s="23" t="inlineStr">
        <is>
          <t>Leases in the cohort.</t>
        </is>
      </c>
      <c r="E171" s="5" t="inlineStr">
        <is>
          <t>Lease trade-out report</t>
        </is>
      </c>
      <c r="F171" s="23" t="inlineStr">
        <is>
          <t>Sample size</t>
        </is>
      </c>
      <c r="G171" s="23" t="inlineStr">
        <is>
          <t>Internal pipeline only — The internal pipeline reads a lease trade-out report (new versus renewal rents); the demo does not ask for one.</t>
        </is>
      </c>
      <c r="H171" s="23" t="inlineStr">
        <is>
          <t>—</t>
        </is>
      </c>
    </row>
    <row r="172">
      <c r="A172" s="5" t="inlineStr">
        <is>
          <t>Trade-out</t>
        </is>
      </c>
      <c r="B172" s="5" t="inlineStr">
        <is>
          <t>cohort_prior_rent</t>
        </is>
      </c>
      <c r="C172" s="5" t="inlineStr">
        <is>
          <t>currency</t>
        </is>
      </c>
      <c r="D172" s="23" t="inlineStr">
        <is>
          <t>Average rent before the trade.</t>
        </is>
      </c>
      <c r="E172" s="5" t="inlineStr">
        <is>
          <t>Lease trade-out report</t>
        </is>
      </c>
      <c r="F172" s="23" t="inlineStr">
        <is>
          <t>Prior rent</t>
        </is>
      </c>
      <c r="G172" s="23" t="inlineStr">
        <is>
          <t>Internal pipeline only — The internal pipeline reads a lease trade-out report (new versus renewal rents); the demo does not ask for one.</t>
        </is>
      </c>
      <c r="H172" s="23" t="inlineStr">
        <is>
          <t>—</t>
        </is>
      </c>
    </row>
    <row r="173">
      <c r="A173" s="5" t="inlineStr">
        <is>
          <t>Trade-out</t>
        </is>
      </c>
      <c r="B173" s="5" t="inlineStr">
        <is>
          <t>cohort_new_rent_gross</t>
        </is>
      </c>
      <c r="C173" s="5" t="inlineStr">
        <is>
          <t>currency</t>
        </is>
      </c>
      <c r="D173" s="23" t="inlineStr">
        <is>
          <t>Average new rent before concessions.</t>
        </is>
      </c>
      <c r="E173" s="5" t="inlineStr">
        <is>
          <t>Lease trade-out report</t>
        </is>
      </c>
      <c r="F173" s="23" t="inlineStr">
        <is>
          <t>Gross trade-out</t>
        </is>
      </c>
      <c r="G173" s="23" t="inlineStr">
        <is>
          <t>Internal pipeline only — The internal pipeline reads a lease trade-out report (new versus renewal rents); the demo does not ask for one.</t>
        </is>
      </c>
      <c r="H173" s="23" t="inlineStr">
        <is>
          <t>—</t>
        </is>
      </c>
    </row>
    <row r="174">
      <c r="A174" s="5" t="inlineStr">
        <is>
          <t>Trade-out</t>
        </is>
      </c>
      <c r="B174" s="5" t="inlineStr">
        <is>
          <t>cohort_new_rent_effective</t>
        </is>
      </c>
      <c r="C174" s="5" t="inlineStr">
        <is>
          <t>currency</t>
        </is>
      </c>
      <c r="D174" s="23" t="inlineStr">
        <is>
          <t>Average new rent after concessions. Quoted separately from gross, because quoting one as the other is how a trade-out number becomes wrong.</t>
        </is>
      </c>
      <c r="E174" s="5" t="inlineStr">
        <is>
          <t>Lease trade-out report</t>
        </is>
      </c>
      <c r="F174" s="23" t="inlineStr">
        <is>
          <t>Effective trade-out</t>
        </is>
      </c>
      <c r="G174" s="23" t="inlineStr">
        <is>
          <t>Internal pipeline only — The internal pipeline reads a lease trade-out report (new versus renewal rents); the demo does not ask for one.</t>
        </is>
      </c>
      <c r="H174" s="23" t="inlineStr">
        <is>
          <t>—</t>
        </is>
      </c>
    </row>
    <row r="175">
      <c r="A175" s="5" t="inlineStr">
        <is>
          <t>Trade-out</t>
        </is>
      </c>
      <c r="B175" s="5" t="inlineStr">
        <is>
          <t>cohort_prior_rent_effective</t>
        </is>
      </c>
      <c r="C175" s="5" t="inlineStr">
        <is>
          <t>currency</t>
        </is>
      </c>
      <c r="D175" s="23" t="inlineStr">
        <is>
          <t>Average prior rent after the prior lease's concession. Optional: absent when the report states no prior concession, and the prior gross stands in.</t>
        </is>
      </c>
      <c r="E175" s="5" t="inlineStr">
        <is>
          <t>Lease trade-out report</t>
        </is>
      </c>
      <c r="F175" s="23" t="inlineStr">
        <is>
          <t>Prior effective rent</t>
        </is>
      </c>
      <c r="G175" s="23" t="inlineStr">
        <is>
          <t>Internal pipeline only — The internal pipeline reads a lease trade-out report (new versus renewal rents); the demo does not ask for one.</t>
        </is>
      </c>
      <c r="H175" s="23" t="inlineStr">
        <is>
          <t>—</t>
        </is>
      </c>
    </row>
    <row r="176">
      <c r="A176" s="5" t="inlineStr">
        <is>
          <t>Trade-out</t>
        </is>
      </c>
      <c r="B176" s="5" t="inlineStr">
        <is>
          <t>cohort_gross_change_pct</t>
        </is>
      </c>
      <c r="C176" s="5" t="inlineStr">
        <is>
          <t>percent</t>
        </is>
      </c>
      <c r="D176" s="23" t="inlineStr">
        <is>
          <t>Gross change over prior rent.</t>
        </is>
      </c>
      <c r="E176" s="5" t="inlineStr">
        <is>
          <t>Derived by the pipeline</t>
        </is>
      </c>
      <c r="F176" s="23" t="inlineStr">
        <is>
          <t>Rent growth evidence</t>
        </is>
      </c>
      <c r="G176" s="23" t="inlineStr">
        <is>
          <t>Internal pipeline only — The internal pipeline reads a lease trade-out report (new versus renewal rents); the demo does not ask for one.</t>
        </is>
      </c>
      <c r="H176" s="23" t="inlineStr">
        <is>
          <t>—</t>
        </is>
      </c>
    </row>
    <row r="177">
      <c r="A177" s="5" t="inlineStr">
        <is>
          <t>Trade-out</t>
        </is>
      </c>
      <c r="B177" s="5" t="inlineStr">
        <is>
          <t>cohort_effective_change_pct</t>
        </is>
      </c>
      <c r="C177" s="5" t="inlineStr">
        <is>
          <t>percent</t>
        </is>
      </c>
      <c r="D177" s="23" t="inlineStr">
        <is>
          <t>Effective change over prior effective rent (the prior gross when no prior concession is stated).</t>
        </is>
      </c>
      <c r="E177" s="5" t="inlineStr">
        <is>
          <t>Derived by the pipeline</t>
        </is>
      </c>
      <c r="F177" s="23" t="inlineStr">
        <is>
          <t>Rent growth evidence</t>
        </is>
      </c>
      <c r="G177" s="23" t="inlineStr">
        <is>
          <t>Internal pipeline only — The internal pipeline reads a lease trade-out report (new versus renewal rents); the demo does not ask for one.</t>
        </is>
      </c>
      <c r="H177" s="23" t="inlineStr">
        <is>
          <t>—</t>
        </is>
      </c>
    </row>
    <row r="178">
      <c r="A178" s="5" t="inlineStr">
        <is>
          <t>Trade-out</t>
        </is>
      </c>
      <c r="B178" s="5" t="inlineStr">
        <is>
          <t>absent_reason</t>
        </is>
      </c>
      <c r="C178" s="5" t="inlineStr">
        <is>
          <t>text</t>
        </is>
      </c>
      <c r="D178" s="23" t="inlineStr">
        <is>
          <t>Why the block is empty, when no trade-out report exists. An empty block that says why is a deliverable; a block of plausible numbers is not.</t>
        </is>
      </c>
      <c r="E178" s="5" t="inlineStr">
        <is>
          <t>Derived by the pipeline</t>
        </is>
      </c>
      <c r="F178" s="23" t="inlineStr">
        <is>
          <t>Reference only — not a model input</t>
        </is>
      </c>
      <c r="G178" s="23" t="inlineStr">
        <is>
          <t>Internal pipeline only — The internal pipeline reads a lease trade-out report (new versus renewal rents); the demo does not ask for one.</t>
        </is>
      </c>
      <c r="H178" s="23" t="inlineStr">
        <is>
          <t>The upload demo does not ask for a lease trade-out report, so there is no basis for a new-versus-renewal block.</t>
        </is>
      </c>
    </row>
    <row r="179">
      <c r="A179" s="4" t="inlineStr">
        <is>
          <t>Comps</t>
        </is>
      </c>
      <c r="B179" s="4" t="n"/>
      <c r="C179" s="4" t="n"/>
      <c r="D179" s="4" t="n"/>
      <c r="E179" s="4" t="n"/>
      <c r="F179" s="4" t="n"/>
      <c r="G179" s="4" t="n"/>
      <c r="H179" s="4" t="n"/>
    </row>
    <row r="180">
      <c r="A180" s="5" t="inlineStr">
        <is>
          <t>Comps</t>
        </is>
      </c>
      <c r="B180" s="5" t="inlineStr">
        <is>
          <t>comp_community</t>
        </is>
      </c>
      <c r="C180" s="5" t="inlineStr">
        <is>
          <t>text</t>
        </is>
      </c>
      <c r="D180" s="23" t="inlineStr">
        <is>
          <t>Comparable community name.</t>
        </is>
      </c>
      <c r="E180" s="5" t="inlineStr">
        <is>
          <t>Operator's own weekly rent scrape</t>
        </is>
      </c>
      <c r="F180" s="23" t="inlineStr">
        <is>
          <t>Comp set</t>
        </is>
      </c>
      <c r="G180" s="23" t="inlineStr">
        <is>
          <t>yes</t>
        </is>
      </c>
      <c r="H180" s="23" t="inlineStr">
        <is>
          <t>—</t>
        </is>
      </c>
    </row>
    <row r="181">
      <c r="A181" s="5" t="inlineStr">
        <is>
          <t>Comps</t>
        </is>
      </c>
      <c r="B181" s="5" t="inlineStr">
        <is>
          <t>comp_distance_mi</t>
        </is>
      </c>
      <c r="C181" s="5" t="inlineStr">
        <is>
          <t>number</t>
        </is>
      </c>
      <c r="D181" s="23" t="inlineStr">
        <is>
          <t>Straight-line distance from the subject.</t>
        </is>
      </c>
      <c r="E181" s="5" t="inlineStr">
        <is>
          <t>Derived by the pipeline</t>
        </is>
      </c>
      <c r="F181" s="23" t="inlineStr">
        <is>
          <t>Comp set</t>
        </is>
      </c>
      <c r="G181" s="23" t="inlineStr">
        <is>
          <t>yes</t>
        </is>
      </c>
      <c r="H181" s="23" t="inlineStr">
        <is>
          <t>—</t>
        </is>
      </c>
    </row>
    <row r="182">
      <c r="A182" s="5" t="inlineStr">
        <is>
          <t>Comps</t>
        </is>
      </c>
      <c r="B182" s="5" t="inlineStr">
        <is>
          <t>comp_floor_plan</t>
        </is>
      </c>
      <c r="C182" s="5" t="inlineStr">
        <is>
          <t>text</t>
        </is>
      </c>
      <c r="D182" s="23" t="inlineStr">
        <is>
          <t>Comp floor plan the row describes. Comps are stated per plan, not as one blended community number.</t>
        </is>
      </c>
      <c r="E182" s="5" t="inlineStr">
        <is>
          <t>Operator's own weekly rent scrape</t>
        </is>
      </c>
      <c r="F182" s="23" t="inlineStr">
        <is>
          <t>Comp set</t>
        </is>
      </c>
      <c r="G182" s="23" t="inlineStr">
        <is>
          <t>yes</t>
        </is>
      </c>
      <c r="H182" s="23" t="inlineStr">
        <is>
          <t>—</t>
        </is>
      </c>
    </row>
    <row r="183">
      <c r="A183" s="5" t="inlineStr">
        <is>
          <t>Comps</t>
        </is>
      </c>
      <c r="B183" s="5" t="inlineStr">
        <is>
          <t>comp_tier</t>
        </is>
      </c>
      <c r="C183" s="5" t="inlineStr">
        <is>
          <t>integer</t>
        </is>
      </c>
      <c r="D183" s="23" t="inlineStr">
        <is>
          <t>1 = top comps (the closest five matching the subject's product and vintage), 2 = additional comps (the next fifteen). The identity-only third group carries no rent; since 2026-09-28 it is carried in the interchange file only and is not shown as a table.</t>
        </is>
      </c>
      <c r="E183" s="5" t="inlineStr">
        <is>
          <t>Derived by the pipeline</t>
        </is>
      </c>
      <c r="F183" s="23" t="inlineStr">
        <is>
          <t>Comp set</t>
        </is>
      </c>
      <c r="G183" s="23" t="inlineStr">
        <is>
          <t>yes</t>
        </is>
      </c>
      <c r="H183" s="23" t="inlineStr">
        <is>
          <t>—</t>
        </is>
      </c>
    </row>
    <row r="184">
      <c r="A184" s="5" t="inlineStr">
        <is>
          <t>Comps</t>
        </is>
      </c>
      <c r="B184" s="5" t="inlineStr">
        <is>
          <t>comp_year_built</t>
        </is>
      </c>
      <c r="C184" s="5" t="inlineStr">
        <is>
          <t>integer</t>
        </is>
      </c>
      <c r="D184" s="23" t="inlineStr">
        <is>
          <t>Comp vintage where one is published: the public property record's year where it has one, else the community registry's. Blank means nobody published one, never that the community is new.</t>
        </is>
      </c>
      <c r="E184" s="5" t="inlineStr">
        <is>
          <t>Operator's own weekly rent scrape</t>
        </is>
      </c>
      <c r="F184" s="23" t="inlineStr">
        <is>
          <t>Comp set</t>
        </is>
      </c>
      <c r="G184" s="23" t="inlineStr">
        <is>
          <t>yes</t>
        </is>
      </c>
      <c r="H184" s="23" t="inlineStr">
        <is>
          <t>—</t>
        </is>
      </c>
    </row>
    <row r="185">
      <c r="A185" s="5" t="inlineStr">
        <is>
          <t>Comps</t>
        </is>
      </c>
      <c r="B185" s="5" t="inlineStr">
        <is>
          <t>comp_year_built_source</t>
        </is>
      </c>
      <c r="C185" s="5" t="inlineStr">
        <is>
          <t>text</t>
        </is>
      </c>
      <c r="D185" s="23" t="inlineStr">
        <is>
          <t>Where that year came from: the public record with its as-of, or the community registry (third-party market data). Blank alongside a blank year; a year with no source is rejected at validation.</t>
        </is>
      </c>
      <c r="E185" s="5" t="inlineStr">
        <is>
          <t>Operator's own weekly rent scrape</t>
        </is>
      </c>
      <c r="F185" s="23" t="inlineStr">
        <is>
          <t>Reference only — not a model input</t>
        </is>
      </c>
      <c r="G185" s="23" t="inlineStr">
        <is>
          <t>yes</t>
        </is>
      </c>
      <c r="H185" s="23" t="inlineStr">
        <is>
          <t>—</t>
        </is>
      </c>
    </row>
    <row r="186">
      <c r="A186" s="5" t="inlineStr">
        <is>
          <t>Comps</t>
        </is>
      </c>
      <c r="B186" s="5" t="inlineStr">
        <is>
          <t>nearby_community</t>
        </is>
      </c>
      <c r="C186" s="5" t="inlineStr">
        <is>
          <t>text</t>
        </is>
      </c>
      <c r="D186" s="23" t="inlineStr">
        <is>
          <t>A tracked community inside the radius that is NOT a comp. Carried in the interchange file; the ~340-row table was taken off the page on 2026-09-28.</t>
        </is>
      </c>
      <c r="E186" s="5" t="inlineStr">
        <is>
          <t>Operator's own weekly rent scrape</t>
        </is>
      </c>
      <c r="F186" s="23" t="inlineStr">
        <is>
          <t>Market context</t>
        </is>
      </c>
      <c r="G186" s="23" t="inlineStr">
        <is>
          <t>yes</t>
        </is>
      </c>
      <c r="H186" s="23" t="inlineStr">
        <is>
          <t>—</t>
        </is>
      </c>
    </row>
    <row r="187">
      <c r="A187" s="5" t="inlineStr">
        <is>
          <t>Comps</t>
        </is>
      </c>
      <c r="B187" s="5" t="inlineStr">
        <is>
          <t>nearby_address</t>
        </is>
      </c>
      <c r="C187" s="5" t="inlineStr">
        <is>
          <t>text</t>
        </is>
      </c>
      <c r="D187" s="23" t="inlineStr">
        <is>
          <t>Its address, so the reader can place it.</t>
        </is>
      </c>
      <c r="E187" s="5" t="inlineStr">
        <is>
          <t>Operator's own weekly rent scrape</t>
        </is>
      </c>
      <c r="F187" s="23" t="inlineStr">
        <is>
          <t>Market context</t>
        </is>
      </c>
      <c r="G187" s="23" t="inlineStr">
        <is>
          <t>yes</t>
        </is>
      </c>
      <c r="H187" s="23" t="inlineStr">
        <is>
          <t>—</t>
        </is>
      </c>
    </row>
    <row r="188">
      <c r="A188" s="5" t="inlineStr">
        <is>
          <t>Comps</t>
        </is>
      </c>
      <c r="B188" s="5" t="inlineStr">
        <is>
          <t>nearby_distance_mi</t>
        </is>
      </c>
      <c r="C188" s="5" t="inlineStr">
        <is>
          <t>number</t>
        </is>
      </c>
      <c r="D188" s="23" t="inlineStr">
        <is>
          <t>Distance from the subject.</t>
        </is>
      </c>
      <c r="E188" s="5" t="inlineStr">
        <is>
          <t>Derived by the pipeline</t>
        </is>
      </c>
      <c r="F188" s="23" t="inlineStr">
        <is>
          <t>Market context</t>
        </is>
      </c>
      <c r="G188" s="23" t="inlineStr">
        <is>
          <t>yes</t>
        </is>
      </c>
      <c r="H188" s="23" t="inlineStr">
        <is>
          <t>—</t>
        </is>
      </c>
    </row>
    <row r="189">
      <c r="A189" s="5" t="inlineStr">
        <is>
          <t>Comps</t>
        </is>
      </c>
      <c r="B189" s="5" t="inlineStr">
        <is>
          <t>nearby_units</t>
        </is>
      </c>
      <c r="C189" s="5" t="inlineStr">
        <is>
          <t>integer</t>
        </is>
      </c>
      <c r="D189" s="23" t="inlineStr">
        <is>
          <t>Unit count. The registry's own count was seeded from licensed data exports, so the public demo withholds it and shows the public-record count instead where one exists (county property record, Florida DBPR apartment licence, City of Austin permit), with its source and as-of.</t>
        </is>
      </c>
      <c r="E189" s="5" t="inlineStr">
        <is>
          <t>Operator's own weekly rent scrape</t>
        </is>
      </c>
      <c r="F189" s="23" t="inlineStr">
        <is>
          <t>Market context</t>
        </is>
      </c>
      <c r="G189" s="23" t="inlineStr">
        <is>
          <t>Public record where one exists — A community's own unit count comes from a licensed data export, so the public demo holds it back; where a public record states a count (a county property record, a Florida DBPR apartment licence, a City of Austin permit), that count is shown with its source and as-of.</t>
        </is>
      </c>
      <c r="H189" s="23" t="inlineStr">
        <is>
          <t>—</t>
        </is>
      </c>
    </row>
    <row r="190">
      <c r="A190" s="5" t="inlineStr">
        <is>
          <t>Comps</t>
        </is>
      </c>
      <c r="B190" s="5" t="inlineStr">
        <is>
          <t>nearby_reason</t>
        </is>
      </c>
      <c r="C190" s="5" t="inlineStr">
        <is>
          <t>text</t>
        </is>
      </c>
      <c r="D190" s="23" t="inlineStr">
        <is>
          <t>Why it is not a comp: wrong product, vintage outside the band, no quoted rent, excluded by the tracker, or simply beyond the closest twenty. The field that answers 'why isn't the property across the street in your comp set?' for every community in the radius.</t>
        </is>
      </c>
      <c r="E190" s="5" t="inlineStr">
        <is>
          <t>Derived by the pipeline</t>
        </is>
      </c>
      <c r="F190" s="23" t="inlineStr">
        <is>
          <t>Market context</t>
        </is>
      </c>
      <c r="G190" s="23" t="inlineStr">
        <is>
          <t>yes</t>
        </is>
      </c>
      <c r="H190" s="23" t="inlineStr">
        <is>
          <t>—</t>
        </is>
      </c>
    </row>
    <row r="191">
      <c r="A191" s="5" t="inlineStr">
        <is>
          <t>Comps</t>
        </is>
      </c>
      <c r="B191" s="5" t="inlineStr">
        <is>
          <t>compset_vintage_footnote</t>
        </is>
      </c>
      <c r="C191" s="5" t="inlineStr">
        <is>
          <t>text</t>
        </is>
      </c>
      <c r="D191" s="23" t="inlineStr">
        <is>
          <t>The disclosure on the detailed tiers: the band applied, and whether some communities carried no year and so could not be tested.</t>
        </is>
      </c>
      <c r="E191" s="5" t="inlineStr">
        <is>
          <t>Derived by the pipeline</t>
        </is>
      </c>
      <c r="F191" s="23" t="inlineStr">
        <is>
          <t>Reference only — not a model input</t>
        </is>
      </c>
      <c r="G191" s="23" t="inlineStr">
        <is>
          <t>yes</t>
        </is>
      </c>
      <c r="H191" s="23" t="inlineStr">
        <is>
          <t>Not run: the market-report service is not part of this offline build, so demand, supply and rent comps were not requested.</t>
        </is>
      </c>
    </row>
    <row r="192">
      <c r="A192" s="5" t="inlineStr">
        <is>
          <t>Comps</t>
        </is>
      </c>
      <c r="B192" s="5" t="inlineStr">
        <is>
          <t>comp_beds</t>
        </is>
      </c>
      <c r="C192" s="5" t="inlineStr">
        <is>
          <t>number</t>
        </is>
      </c>
      <c r="D192" s="23" t="inlineStr">
        <is>
          <t>Bedrooms in the comp plan.</t>
        </is>
      </c>
      <c r="E192" s="5" t="inlineStr">
        <is>
          <t>Operator's own weekly rent scrape</t>
        </is>
      </c>
      <c r="F192" s="23" t="inlineStr">
        <is>
          <t>Comp set</t>
        </is>
      </c>
      <c r="G192" s="23" t="inlineStr">
        <is>
          <t>yes</t>
        </is>
      </c>
      <c r="H192" s="23" t="inlineStr">
        <is>
          <t>—</t>
        </is>
      </c>
    </row>
    <row r="193">
      <c r="A193" s="5" t="inlineStr">
        <is>
          <t>Comps</t>
        </is>
      </c>
      <c r="B193" s="5" t="inlineStr">
        <is>
          <t>comp_baths</t>
        </is>
      </c>
      <c r="C193" s="5" t="inlineStr">
        <is>
          <t>number</t>
        </is>
      </c>
      <c r="D193" s="23" t="inlineStr">
        <is>
          <t>Bathrooms in the comp plan.</t>
        </is>
      </c>
      <c r="E193" s="5" t="inlineStr">
        <is>
          <t>Operator's own weekly rent scrape</t>
        </is>
      </c>
      <c r="F193" s="23" t="inlineStr">
        <is>
          <t>Comp set</t>
        </is>
      </c>
      <c r="G193" s="23" t="inlineStr">
        <is>
          <t>yes</t>
        </is>
      </c>
      <c r="H193" s="23" t="inlineStr">
        <is>
          <t>—</t>
        </is>
      </c>
    </row>
    <row r="194">
      <c r="A194" s="5" t="inlineStr">
        <is>
          <t>Comps</t>
        </is>
      </c>
      <c r="B194" s="5" t="inlineStr">
        <is>
          <t>comp_sqft</t>
        </is>
      </c>
      <c r="C194" s="5" t="inlineStr">
        <is>
          <t>number</t>
        </is>
      </c>
      <c r="D194" s="23" t="inlineStr">
        <is>
          <t>Square footage of the comp plan.</t>
        </is>
      </c>
      <c r="E194" s="5" t="inlineStr">
        <is>
          <t>Operator's own weekly rent scrape</t>
        </is>
      </c>
      <c r="F194" s="23" t="inlineStr">
        <is>
          <t>Comp set</t>
        </is>
      </c>
      <c r="G194" s="23" t="inlineStr">
        <is>
          <t>yes</t>
        </is>
      </c>
      <c r="H194" s="23" t="inlineStr">
        <is>
          <t>—</t>
        </is>
      </c>
    </row>
    <row r="195">
      <c r="A195" s="5" t="inlineStr">
        <is>
          <t>Comps</t>
        </is>
      </c>
      <c r="B195" s="5" t="inlineStr">
        <is>
          <t>comp_asking_rent</t>
        </is>
      </c>
      <c r="C195" s="5" t="inlineStr">
        <is>
          <t>currency</t>
        </is>
      </c>
      <c r="D195" s="23" t="inlineStr">
        <is>
          <t>Advertised asking rent.</t>
        </is>
      </c>
      <c r="E195" s="5" t="inlineStr">
        <is>
          <t>Operator's own weekly rent scrape</t>
        </is>
      </c>
      <c r="F195" s="23" t="inlineStr">
        <is>
          <t>Market rent evidence</t>
        </is>
      </c>
      <c r="G195" s="23" t="inlineStr">
        <is>
          <t>yes</t>
        </is>
      </c>
      <c r="H195" s="23" t="inlineStr">
        <is>
          <t>—</t>
        </is>
      </c>
    </row>
    <row r="196">
      <c r="A196" s="5" t="inlineStr">
        <is>
          <t>Comps</t>
        </is>
      </c>
      <c r="B196" s="5" t="inlineStr">
        <is>
          <t>comp_concession</t>
        </is>
      </c>
      <c r="C196" s="5" t="inlineStr">
        <is>
          <t>currency</t>
        </is>
      </c>
      <c r="D196" s="23" t="inlineStr">
        <is>
          <t>Monthly value of the advertised concession.</t>
        </is>
      </c>
      <c r="E196" s="5" t="inlineStr">
        <is>
          <t>Operator's own weekly rent scrape</t>
        </is>
      </c>
      <c r="F196" s="23" t="inlineStr">
        <is>
          <t>Concession assumption</t>
        </is>
      </c>
      <c r="G196" s="23" t="inlineStr">
        <is>
          <t>yes</t>
        </is>
      </c>
      <c r="H196" s="23" t="inlineStr">
        <is>
          <t>—</t>
        </is>
      </c>
    </row>
    <row r="197">
      <c r="A197" s="5" t="inlineStr">
        <is>
          <t>Comps</t>
        </is>
      </c>
      <c r="B197" s="5" t="inlineStr">
        <is>
          <t>comp_net_effective_rent</t>
        </is>
      </c>
      <c r="C197" s="5" t="inlineStr">
        <is>
          <t>currency</t>
        </is>
      </c>
      <c r="D197" s="23" t="inlineStr">
        <is>
          <t>Asking rent less the amortized concession. Stated on every row — a concession-blind comp set is the most common way a rent assumption goes wrong.</t>
        </is>
      </c>
      <c r="E197" s="5" t="inlineStr">
        <is>
          <t>Derived by the pipeline</t>
        </is>
      </c>
      <c r="F197" s="23" t="inlineStr">
        <is>
          <t>Market rent evidence</t>
        </is>
      </c>
      <c r="G197" s="23" t="inlineStr">
        <is>
          <t>yes</t>
        </is>
      </c>
      <c r="H197" s="23" t="inlineStr">
        <is>
          <t>—</t>
        </is>
      </c>
    </row>
    <row r="198">
      <c r="A198" s="5" t="inlineStr">
        <is>
          <t>Comps</t>
        </is>
      </c>
      <c r="B198" s="5" t="inlineStr">
        <is>
          <t>comp_asking_psf</t>
        </is>
      </c>
      <c r="C198" s="5" t="inlineStr">
        <is>
          <t>currency</t>
        </is>
      </c>
      <c r="D198" s="23" t="inlineStr">
        <is>
          <t>Asking rent per square foot.</t>
        </is>
      </c>
      <c r="E198" s="5" t="inlineStr">
        <is>
          <t>Derived by the pipeline</t>
        </is>
      </c>
      <c r="F198" s="23" t="inlineStr">
        <is>
          <t>Comp set</t>
        </is>
      </c>
      <c r="G198" s="23" t="inlineStr">
        <is>
          <t>yes</t>
        </is>
      </c>
      <c r="H198" s="23" t="inlineStr">
        <is>
          <t>—</t>
        </is>
      </c>
    </row>
    <row r="199">
      <c r="A199" s="5" t="inlineStr">
        <is>
          <t>Comps</t>
        </is>
      </c>
      <c r="B199" s="5" t="inlineStr">
        <is>
          <t>comp_occupancy</t>
        </is>
      </c>
      <c r="C199" s="5" t="inlineStr">
        <is>
          <t>percent</t>
        </is>
      </c>
      <c r="D199" s="23" t="inlineStr">
        <is>
          <t>Occupancy where the source published it.</t>
        </is>
      </c>
      <c r="E199" s="5" t="inlineStr">
        <is>
          <t>Operator's own weekly rent scrape</t>
        </is>
      </c>
      <c r="F199" s="23" t="inlineStr">
        <is>
          <t>Market context</t>
        </is>
      </c>
      <c r="G199" s="23" t="inlineStr">
        <is>
          <t>yes</t>
        </is>
      </c>
      <c r="H199" s="23" t="inlineStr">
        <is>
          <t>—</t>
        </is>
      </c>
    </row>
    <row r="200">
      <c r="A200" s="5" t="inlineStr">
        <is>
          <t>Comps</t>
        </is>
      </c>
      <c r="B200" s="5" t="inlineStr">
        <is>
          <t>comp_as_of</t>
        </is>
      </c>
      <c r="C200" s="5" t="inlineStr">
        <is>
          <t>date</t>
        </is>
      </c>
      <c r="D200" s="23" t="inlineStr">
        <is>
          <t>When the row was scraped.</t>
        </is>
      </c>
      <c r="E200" s="5" t="inlineStr">
        <is>
          <t>Operator's own weekly rent scrape</t>
        </is>
      </c>
      <c r="F200" s="23" t="inlineStr">
        <is>
          <t>Reference only — not a model input</t>
        </is>
      </c>
      <c r="G200" s="23" t="inlineStr">
        <is>
          <t>yes</t>
        </is>
      </c>
      <c r="H200" s="23" t="inlineStr">
        <is>
          <t>—</t>
        </is>
      </c>
    </row>
    <row r="201">
      <c r="A201" s="5" t="inlineStr">
        <is>
          <t>Comps</t>
        </is>
      </c>
      <c r="B201" s="5" t="inlineStr">
        <is>
          <t>comp_source</t>
        </is>
      </c>
      <c r="C201" s="5" t="inlineStr">
        <is>
          <t>text</t>
        </is>
      </c>
      <c r="D201" s="23" t="inlineStr">
        <is>
          <t>Always the operator's own weekly scrape. Licensed comp feeds are excluded by design and cannot be represented in this schema.</t>
        </is>
      </c>
      <c r="E201" s="5" t="inlineStr">
        <is>
          <t>Operator's own weekly rent scrape</t>
        </is>
      </c>
      <c r="F201" s="23" t="inlineStr">
        <is>
          <t>Reference only — not a model input</t>
        </is>
      </c>
      <c r="G201" s="23" t="inlineStr">
        <is>
          <t>yes</t>
        </is>
      </c>
      <c r="H201" s="23" t="inlineStr">
        <is>
          <t>—</t>
        </is>
      </c>
    </row>
    <row r="202">
      <c r="A202" s="5" t="inlineStr">
        <is>
          <t>Comps</t>
        </is>
      </c>
      <c r="B202" s="5" t="inlineStr">
        <is>
          <t>compset_avg_asking</t>
        </is>
      </c>
      <c r="C202" s="5" t="inlineStr">
        <is>
          <t>currency</t>
        </is>
      </c>
      <c r="D202" s="23" t="inlineStr">
        <is>
          <t>Average asking rent across the comp set.</t>
        </is>
      </c>
      <c r="E202" s="5" t="inlineStr">
        <is>
          <t>Derived by the pipeline</t>
        </is>
      </c>
      <c r="F202" s="23" t="inlineStr">
        <is>
          <t>Market rent benchmark</t>
        </is>
      </c>
      <c r="G202" s="23" t="inlineStr">
        <is>
          <t>yes</t>
        </is>
      </c>
      <c r="H202" s="23" t="inlineStr">
        <is>
          <t>—</t>
        </is>
      </c>
    </row>
    <row r="203">
      <c r="A203" s="5" t="inlineStr">
        <is>
          <t>Comps</t>
        </is>
      </c>
      <c r="B203" s="5" t="inlineStr">
        <is>
          <t>compset_avg_net_effective</t>
        </is>
      </c>
      <c r="C203" s="5" t="inlineStr">
        <is>
          <t>currency</t>
        </is>
      </c>
      <c r="D203" s="23" t="inlineStr">
        <is>
          <t>Average net effective rent across the comp set.</t>
        </is>
      </c>
      <c r="E203" s="5" t="inlineStr">
        <is>
          <t>Derived by the pipeline</t>
        </is>
      </c>
      <c r="F203" s="23" t="inlineStr">
        <is>
          <t>Market rent benchmark</t>
        </is>
      </c>
      <c r="G203" s="23" t="inlineStr">
        <is>
          <t>yes</t>
        </is>
      </c>
      <c r="H203" s="23" t="inlineStr">
        <is>
          <t>—</t>
        </is>
      </c>
    </row>
    <row r="204">
      <c r="A204" s="5" t="inlineStr">
        <is>
          <t>Comps</t>
        </is>
      </c>
      <c r="B204" s="5" t="inlineStr">
        <is>
          <t>subject_vs_compset_spread</t>
        </is>
      </c>
      <c r="C204" s="5" t="inlineStr">
        <is>
          <t>percent</t>
        </is>
      </c>
      <c r="D204" s="23" t="inlineStr">
        <is>
          <t>Subject market rent over comp-set net effective, less one.</t>
        </is>
      </c>
      <c r="E204" s="5" t="inlineStr">
        <is>
          <t>Derived by the pipeline</t>
        </is>
      </c>
      <c r="F204" s="23" t="inlineStr">
        <is>
          <t>Rent positioning</t>
        </is>
      </c>
      <c r="G204" s="23" t="inlineStr">
        <is>
          <t>yes</t>
        </is>
      </c>
      <c r="H204" s="23" t="inlineStr">
        <is>
          <t>—</t>
        </is>
      </c>
    </row>
    <row r="205">
      <c r="A205" s="4" t="inlineStr">
        <is>
          <t>Demand</t>
        </is>
      </c>
      <c r="B205" s="4" t="n"/>
      <c r="C205" s="4" t="n"/>
      <c r="D205" s="4" t="n"/>
      <c r="E205" s="4" t="n"/>
      <c r="F205" s="4" t="n"/>
      <c r="G205" s="4" t="n"/>
      <c r="H205" s="4" t="n"/>
    </row>
    <row r="206">
      <c r="A206" s="5" t="inlineStr">
        <is>
          <t>Demand</t>
        </is>
      </c>
      <c r="B206" s="5" t="inlineStr">
        <is>
          <t>demand_ring</t>
        </is>
      </c>
      <c r="C206" s="5" t="inlineStr">
        <is>
          <t>text</t>
        </is>
      </c>
      <c r="D206" s="23" t="inlineStr">
        <is>
          <t>Drive-ring the row describes: 1, 3, 5, or 10 miles, or the MSA.</t>
        </is>
      </c>
      <c r="E206" s="5" t="inlineStr">
        <is>
          <t>Derived by the pipeline</t>
        </is>
      </c>
      <c r="F206" s="23" t="inlineStr">
        <is>
          <t>Market summary</t>
        </is>
      </c>
      <c r="G206" s="23" t="inlineStr">
        <is>
          <t>yes</t>
        </is>
      </c>
      <c r="H206" s="23" t="inlineStr">
        <is>
          <t>—</t>
        </is>
      </c>
    </row>
    <row r="207">
      <c r="A207" s="5" t="inlineStr">
        <is>
          <t>Demand</t>
        </is>
      </c>
      <c r="B207" s="5" t="inlineStr">
        <is>
          <t>demand_population</t>
        </is>
      </c>
      <c r="C207" s="5" t="inlineStr">
        <is>
          <t>integer</t>
        </is>
      </c>
      <c r="D207" s="23" t="inlineStr">
        <is>
          <t>Population in the ring.</t>
        </is>
      </c>
      <c r="E207" s="5" t="inlineStr">
        <is>
          <t>Public demographic data</t>
        </is>
      </c>
      <c r="F207" s="23" t="inlineStr">
        <is>
          <t>Market summary</t>
        </is>
      </c>
      <c r="G207" s="23" t="inlineStr">
        <is>
          <t>yes</t>
        </is>
      </c>
      <c r="H207" s="23" t="inlineStr">
        <is>
          <t>—</t>
        </is>
      </c>
    </row>
    <row r="208">
      <c r="A208" s="5" t="inlineStr">
        <is>
          <t>Demand</t>
        </is>
      </c>
      <c r="B208" s="5" t="inlineStr">
        <is>
          <t>demand_households</t>
        </is>
      </c>
      <c r="C208" s="5" t="inlineStr">
        <is>
          <t>integer</t>
        </is>
      </c>
      <c r="D208" s="23" t="inlineStr">
        <is>
          <t>Households in the ring.</t>
        </is>
      </c>
      <c r="E208" s="5" t="inlineStr">
        <is>
          <t>Public demographic data</t>
        </is>
      </c>
      <c r="F208" s="23" t="inlineStr">
        <is>
          <t>Market summary</t>
        </is>
      </c>
      <c r="G208" s="23" t="inlineStr">
        <is>
          <t>yes</t>
        </is>
      </c>
      <c r="H208" s="23" t="inlineStr">
        <is>
          <t>—</t>
        </is>
      </c>
    </row>
    <row r="209">
      <c r="A209" s="5" t="inlineStr">
        <is>
          <t>Demand</t>
        </is>
      </c>
      <c r="B209" s="5" t="inlineStr">
        <is>
          <t>demand_median_income</t>
        </is>
      </c>
      <c r="C209" s="5" t="inlineStr">
        <is>
          <t>currency</t>
        </is>
      </c>
      <c r="D209" s="23" t="inlineStr">
        <is>
          <t>Median household income in the ring.</t>
        </is>
      </c>
      <c r="E209" s="5" t="inlineStr">
        <is>
          <t>Public demographic data</t>
        </is>
      </c>
      <c r="F209" s="23" t="inlineStr">
        <is>
          <t>Affordability check</t>
        </is>
      </c>
      <c r="G209" s="23" t="inlineStr">
        <is>
          <t>yes</t>
        </is>
      </c>
      <c r="H209" s="23" t="inlineStr">
        <is>
          <t>—</t>
        </is>
      </c>
    </row>
    <row r="210">
      <c r="A210" s="5" t="inlineStr">
        <is>
          <t>Demand</t>
        </is>
      </c>
      <c r="B210" s="5" t="inlineStr">
        <is>
          <t>demand_jobs</t>
        </is>
      </c>
      <c r="C210" s="5" t="inlineStr">
        <is>
          <t>integer</t>
        </is>
      </c>
      <c r="D210" s="23" t="inlineStr">
        <is>
          <t>Jobs located in the ring.</t>
        </is>
      </c>
      <c r="E210" s="5" t="inlineStr">
        <is>
          <t>Public demographic data</t>
        </is>
      </c>
      <c r="F210" s="23" t="inlineStr">
        <is>
          <t>Market summary</t>
        </is>
      </c>
      <c r="G210" s="23" t="inlineStr">
        <is>
          <t>yes</t>
        </is>
      </c>
      <c r="H210" s="23" t="inlineStr">
        <is>
          <t>—</t>
        </is>
      </c>
    </row>
    <row r="211">
      <c r="A211" s="5" t="inlineStr">
        <is>
          <t>Demand</t>
        </is>
      </c>
      <c r="B211" s="5" t="inlineStr">
        <is>
          <t>demand_pop_growth_5yr</t>
        </is>
      </c>
      <c r="C211" s="5" t="inlineStr">
        <is>
          <t>percent</t>
        </is>
      </c>
      <c r="D211" s="23" t="inlineStr">
        <is>
          <t>Five-year population growth in the ring.</t>
        </is>
      </c>
      <c r="E211" s="5" t="inlineStr">
        <is>
          <t>Public demographic data</t>
        </is>
      </c>
      <c r="F211" s="23" t="inlineStr">
        <is>
          <t>Growth assumption evidence</t>
        </is>
      </c>
      <c r="G211" s="23" t="inlineStr">
        <is>
          <t>yes</t>
        </is>
      </c>
      <c r="H211" s="23" t="inlineStr">
        <is>
          <t>—</t>
        </is>
      </c>
    </row>
    <row r="212">
      <c r="A212" s="5" t="inlineStr">
        <is>
          <t>Demand</t>
        </is>
      </c>
      <c r="B212" s="5" t="inlineStr">
        <is>
          <t>demand_renter_share</t>
        </is>
      </c>
      <c r="C212" s="5" t="inlineStr">
        <is>
          <t>percent</t>
        </is>
      </c>
      <c r="D212" s="23" t="inlineStr">
        <is>
          <t>Share of ring households that rent.</t>
        </is>
      </c>
      <c r="E212" s="5" t="inlineStr">
        <is>
          <t>Public demographic data</t>
        </is>
      </c>
      <c r="F212" s="23" t="inlineStr">
        <is>
          <t>Demand context</t>
        </is>
      </c>
      <c r="G212" s="23" t="inlineStr">
        <is>
          <t>yes</t>
        </is>
      </c>
      <c r="H212" s="23" t="inlineStr">
        <is>
          <t>—</t>
        </is>
      </c>
    </row>
    <row r="213">
      <c r="A213" s="4" t="inlineStr">
        <is>
          <t>Supply</t>
        </is>
      </c>
      <c r="B213" s="4" t="n"/>
      <c r="C213" s="4" t="n"/>
      <c r="D213" s="4" t="n"/>
      <c r="E213" s="4" t="n"/>
      <c r="F213" s="4" t="n"/>
      <c r="G213" s="4" t="n"/>
      <c r="H213" s="4" t="n"/>
    </row>
    <row r="214">
      <c r="A214" s="5" t="inlineStr">
        <is>
          <t>Supply</t>
        </is>
      </c>
      <c r="B214" s="5" t="inlineStr">
        <is>
          <t>supply_ring</t>
        </is>
      </c>
      <c r="C214" s="5" t="inlineStr">
        <is>
          <t>text</t>
        </is>
      </c>
      <c r="D214" s="23" t="inlineStr">
        <is>
          <t>Ring the supply row describes.</t>
        </is>
      </c>
      <c r="E214" s="5" t="inlineStr">
        <is>
          <t>Derived by the pipeline</t>
        </is>
      </c>
      <c r="F214" s="23" t="inlineStr">
        <is>
          <t>Competing supply</t>
        </is>
      </c>
      <c r="G214" s="23" t="inlineStr">
        <is>
          <t>yes</t>
        </is>
      </c>
      <c r="H214" s="23" t="inlineStr">
        <is>
          <t>—</t>
        </is>
      </c>
    </row>
    <row r="215">
      <c r="A215" s="5" t="inlineStr">
        <is>
          <t>Supply</t>
        </is>
      </c>
      <c r="B215" s="5" t="inlineStr">
        <is>
          <t>supply_stage</t>
        </is>
      </c>
      <c r="C215" s="5" t="inlineStr">
        <is>
          <t>text</t>
        </is>
      </c>
      <c r="D215" s="23" t="inlineStr">
        <is>
          <t>Entitlement, permitted, under construction, or delivered in the last 24 months. Stage is stated because entitled units and delivered units are not the same risk.</t>
        </is>
      </c>
      <c r="E215" s="5" t="inlineStr">
        <is>
          <t>Public permit / entitlement records</t>
        </is>
      </c>
      <c r="F215" s="23" t="inlineStr">
        <is>
          <t>Competing supply</t>
        </is>
      </c>
      <c r="G215" s="23" t="inlineStr">
        <is>
          <t>yes</t>
        </is>
      </c>
      <c r="H215" s="23" t="inlineStr">
        <is>
          <t>—</t>
        </is>
      </c>
    </row>
    <row r="216">
      <c r="A216" s="5" t="inlineStr">
        <is>
          <t>Supply</t>
        </is>
      </c>
      <c r="B216" s="5" t="inlineStr">
        <is>
          <t>supply_projects</t>
        </is>
      </c>
      <c r="C216" s="5" t="inlineStr">
        <is>
          <t>integer</t>
        </is>
      </c>
      <c r="D216" s="23" t="inlineStr">
        <is>
          <t>Projects at that ring and stage.</t>
        </is>
      </c>
      <c r="E216" s="5" t="inlineStr">
        <is>
          <t>Public permit / entitlement records</t>
        </is>
      </c>
      <c r="F216" s="23" t="inlineStr">
        <is>
          <t>Competing supply</t>
        </is>
      </c>
      <c r="G216" s="23" t="inlineStr">
        <is>
          <t>yes</t>
        </is>
      </c>
      <c r="H216" s="23" t="inlineStr">
        <is>
          <t>—</t>
        </is>
      </c>
    </row>
    <row r="217">
      <c r="A217" s="5" t="inlineStr">
        <is>
          <t>Supply</t>
        </is>
      </c>
      <c r="B217" s="5" t="inlineStr">
        <is>
          <t>supply_units</t>
        </is>
      </c>
      <c r="C217" s="5" t="inlineStr">
        <is>
          <t>integer</t>
        </is>
      </c>
      <c r="D217" s="23" t="inlineStr">
        <is>
          <t>Units at that ring and stage.</t>
        </is>
      </c>
      <c r="E217" s="5" t="inlineStr">
        <is>
          <t>Public permit / entitlement records</t>
        </is>
      </c>
      <c r="F217" s="23" t="inlineStr">
        <is>
          <t>Competing supply / absorption</t>
        </is>
      </c>
      <c r="G217" s="23" t="inlineStr">
        <is>
          <t>yes</t>
        </is>
      </c>
      <c r="H217" s="23" t="inlineStr">
        <is>
          <t>—</t>
        </is>
      </c>
    </row>
    <row r="218">
      <c r="A218" s="5" t="inlineStr">
        <is>
          <t>Supply</t>
        </is>
      </c>
      <c r="B218" s="5" t="inlineStr">
        <is>
          <t>supply_ring_total_units</t>
        </is>
      </c>
      <c r="C218" s="5" t="inlineStr">
        <is>
          <t>integer</t>
        </is>
      </c>
      <c r="D218" s="23" t="inlineStr">
        <is>
          <t>All pipeline units in the ring across stages.</t>
        </is>
      </c>
      <c r="E218" s="5" t="inlineStr">
        <is>
          <t>Derived by the pipeline</t>
        </is>
      </c>
      <c r="F218" s="23" t="inlineStr">
        <is>
          <t>Competing supply</t>
        </is>
      </c>
      <c r="G218" s="23" t="inlineStr">
        <is>
          <t>yes</t>
        </is>
      </c>
      <c r="H218" s="23" t="inlineStr">
        <is>
          <t>—</t>
        </is>
      </c>
    </row>
    <row r="219">
      <c r="A219" s="5" t="inlineStr">
        <is>
          <t>Supply</t>
        </is>
      </c>
      <c r="B219" s="5" t="inlineStr">
        <is>
          <t>supply_pct_of_ring_stock</t>
        </is>
      </c>
      <c r="C219" s="5" t="inlineStr">
        <is>
          <t>percent</t>
        </is>
      </c>
      <c r="D219" s="23" t="inlineStr">
        <is>
          <t>Pipeline units as a share of the ring's existing stock, where stock is known.</t>
        </is>
      </c>
      <c r="E219" s="5" t="inlineStr">
        <is>
          <t>Derived by the pipeline</t>
        </is>
      </c>
      <c r="F219" s="23" t="inlineStr">
        <is>
          <t>Supply pressure</t>
        </is>
      </c>
      <c r="G219" s="23" t="inlineStr">
        <is>
          <t>yes</t>
        </is>
      </c>
      <c r="H219" s="23" t="inlineStr">
        <is>
          <t>—</t>
        </is>
      </c>
    </row>
    <row r="220">
      <c r="A220" s="5" t="inlineStr">
        <is>
          <t>Supply</t>
        </is>
      </c>
      <c r="B220" s="5" t="inlineStr">
        <is>
          <t>supply_project_name</t>
        </is>
      </c>
      <c r="C220" s="5" t="inlineStr">
        <is>
          <t>text</t>
        </is>
      </c>
      <c r="D220" s="23" t="inlineStr">
        <is>
          <t>One development inside three miles, named. The ring rows say how many projects were counted; these say which ones.</t>
        </is>
      </c>
      <c r="E220" s="5" t="inlineStr">
        <is>
          <t>Public permit / entitlement records</t>
        </is>
      </c>
      <c r="F220" s="23" t="inlineStr">
        <is>
          <t>Competing supply</t>
        </is>
      </c>
      <c r="G220" s="23" t="inlineStr">
        <is>
          <t>yes</t>
        </is>
      </c>
      <c r="H220" s="23" t="inlineStr">
        <is>
          <t>—</t>
        </is>
      </c>
    </row>
    <row r="221">
      <c r="A221" s="5" t="inlineStr">
        <is>
          <t>Supply</t>
        </is>
      </c>
      <c r="B221" s="5" t="inlineStr">
        <is>
          <t>supply_project_miles</t>
        </is>
      </c>
      <c r="C221" s="5" t="inlineStr">
        <is>
          <t>number</t>
        </is>
      </c>
      <c r="D221" s="23" t="inlineStr">
        <is>
          <t>Distance from the subject, at the nearest record any lifecycle layer carried.</t>
        </is>
      </c>
      <c r="E221" s="5" t="inlineStr">
        <is>
          <t>Derived by the pipeline</t>
        </is>
      </c>
      <c r="F221" s="23" t="inlineStr">
        <is>
          <t>Competing supply</t>
        </is>
      </c>
      <c r="G221" s="23" t="inlineStr">
        <is>
          <t>yes</t>
        </is>
      </c>
      <c r="H221" s="23" t="inlineStr">
        <is>
          <t>—</t>
        </is>
      </c>
    </row>
    <row r="222">
      <c r="A222" s="5" t="inlineStr">
        <is>
          <t>Supply</t>
        </is>
      </c>
      <c r="B222" s="5" t="inlineStr">
        <is>
          <t>supply_project_stage</t>
        </is>
      </c>
      <c r="C222" s="5" t="inlineStr">
        <is>
          <t>text</t>
        </is>
      </c>
      <c r="D222" s="23" t="inlineStr">
        <is>
          <t>The furthest tracked stage the pipeline shows for that development — the stage it was counted at.</t>
        </is>
      </c>
      <c r="E222" s="5" t="inlineStr">
        <is>
          <t>Public permit / entitlement records</t>
        </is>
      </c>
      <c r="F222" s="23" t="inlineStr">
        <is>
          <t>Competing supply</t>
        </is>
      </c>
      <c r="G222" s="23" t="inlineStr">
        <is>
          <t>yes</t>
        </is>
      </c>
      <c r="H222" s="23" t="inlineStr">
        <is>
          <t>—</t>
        </is>
      </c>
    </row>
    <row r="223">
      <c r="A223" s="5" t="inlineStr">
        <is>
          <t>Supply</t>
        </is>
      </c>
      <c r="B223" s="5" t="inlineStr">
        <is>
          <t>supply_project_units</t>
        </is>
      </c>
      <c r="C223" s="5" t="inlineStr">
        <is>
          <t>integer</t>
        </is>
      </c>
      <c r="D223" s="23" t="inlineStr">
        <is>
          <t>Units where a layer stated them. Blank means the source did not state a count, never zero.</t>
        </is>
      </c>
      <c r="E223" s="5" t="inlineStr">
        <is>
          <t>Public permit / entitlement records</t>
        </is>
      </c>
      <c r="F223" s="23" t="inlineStr">
        <is>
          <t>Competing supply / absorption</t>
        </is>
      </c>
      <c r="G223" s="23" t="inlineStr">
        <is>
          <t>yes</t>
        </is>
      </c>
      <c r="H223" s="23" t="inlineStr">
        <is>
          <t>—</t>
        </is>
      </c>
    </row>
    <row r="224">
      <c r="A224" s="5" t="inlineStr">
        <is>
          <t>Supply</t>
        </is>
      </c>
      <c r="B224" s="5" t="inlineStr">
        <is>
          <t>supply_project_product</t>
        </is>
      </c>
      <c r="C224" s="5" t="inlineStr">
        <is>
          <t>text</t>
        </is>
      </c>
      <c r="D224" s="23" t="inlineStr">
        <is>
          <t>Product the pipeline records for the development.</t>
        </is>
      </c>
      <c r="E224" s="5" t="inlineStr">
        <is>
          <t>Public permit / entitlement records</t>
        </is>
      </c>
      <c r="F224" s="23" t="inlineStr">
        <is>
          <t>Competing supply</t>
        </is>
      </c>
      <c r="G224" s="23" t="inlineStr">
        <is>
          <t>yes</t>
        </is>
      </c>
      <c r="H224" s="23" t="inlineStr">
        <is>
          <t>—</t>
        </is>
      </c>
    </row>
    <row r="225">
      <c r="A225" s="5" t="inlineStr">
        <is>
          <t>Supply</t>
        </is>
      </c>
      <c r="B225" s="5" t="inlineStr">
        <is>
          <t>supply_project_address</t>
        </is>
      </c>
      <c r="C225" s="5" t="inlineStr">
        <is>
          <t>text</t>
        </is>
      </c>
      <c r="D225" s="23" t="inlineStr">
        <is>
          <t>Street address where a layer carried one.</t>
        </is>
      </c>
      <c r="E225" s="5" t="inlineStr">
        <is>
          <t>Public permit / entitlement records</t>
        </is>
      </c>
      <c r="F225" s="23" t="inlineStr">
        <is>
          <t>Competing supply</t>
        </is>
      </c>
      <c r="G225" s="23" t="inlineStr">
        <is>
          <t>yes</t>
        </is>
      </c>
      <c r="H225" s="23" t="inlineStr">
        <is>
          <t>—</t>
        </is>
      </c>
    </row>
    <row r="226">
      <c r="A226" s="5" t="inlineStr">
        <is>
          <t>Supply</t>
        </is>
      </c>
      <c r="B226" s="5" t="inlineStr">
        <is>
          <t>supply_project_city</t>
        </is>
      </c>
      <c r="C226" s="5" t="inlineStr">
        <is>
          <t>text</t>
        </is>
      </c>
      <c r="D226" s="23" t="inlineStr">
        <is>
          <t>City where a layer carried one.</t>
        </is>
      </c>
      <c r="E226" s="5" t="inlineStr">
        <is>
          <t>Public permit / entitlement records</t>
        </is>
      </c>
      <c r="F226" s="23" t="inlineStr">
        <is>
          <t>Competing supply</t>
        </is>
      </c>
      <c r="G226" s="23" t="inlineStr">
        <is>
          <t>yes</t>
        </is>
      </c>
      <c r="H226" s="23" t="inlineStr">
        <is>
          <t>—</t>
        </is>
      </c>
    </row>
    <row r="227">
      <c r="A227" s="5" t="inlineStr">
        <is>
          <t>Supply</t>
        </is>
      </c>
      <c r="B227" s="5" t="inlineStr">
        <is>
          <t>supply_project_acres</t>
        </is>
      </c>
      <c r="C227" s="5" t="inlineStr">
        <is>
          <t>number</t>
        </is>
      </c>
      <c r="D227" s="23" t="inlineStr">
        <is>
          <t>Site acreage where a layer carried one.</t>
        </is>
      </c>
      <c r="E227" s="5" t="inlineStr">
        <is>
          <t>Public permit / entitlement records</t>
        </is>
      </c>
      <c r="F227" s="23" t="inlineStr">
        <is>
          <t>Competing supply</t>
        </is>
      </c>
      <c r="G227" s="23" t="inlineStr">
        <is>
          <t>yes</t>
        </is>
      </c>
      <c r="H227" s="23" t="inlineStr">
        <is>
          <t>—</t>
        </is>
      </c>
    </row>
    <row r="228">
      <c r="A228" s="5" t="inlineStr">
        <is>
          <t>Supply</t>
        </is>
      </c>
      <c r="B228" s="5" t="inlineStr">
        <is>
          <t>supply_project_developer</t>
        </is>
      </c>
      <c r="C228" s="5" t="inlineStr">
        <is>
          <t>text</t>
        </is>
      </c>
      <c r="D228" s="23" t="inlineStr">
        <is>
          <t>Developer where a layer named one.</t>
        </is>
      </c>
      <c r="E228" s="5" t="inlineStr">
        <is>
          <t>Public permit / entitlement records</t>
        </is>
      </c>
      <c r="F228" s="23" t="inlineStr">
        <is>
          <t>Competing supply</t>
        </is>
      </c>
      <c r="G228" s="23" t="inlineStr">
        <is>
          <t>yes</t>
        </is>
      </c>
      <c r="H228" s="23" t="inlineStr">
        <is>
          <t>—</t>
        </is>
      </c>
    </row>
    <row r="229">
      <c r="A229" s="5" t="inlineStr">
        <is>
          <t>Supply</t>
        </is>
      </c>
      <c r="B229" s="5" t="inlineStr">
        <is>
          <t>supply_project_filed</t>
        </is>
      </c>
      <c r="C229" s="5" t="inlineStr">
        <is>
          <t>date</t>
        </is>
      </c>
      <c r="D229" s="23" t="inlineStr">
        <is>
          <t>Earliest filing date across the layers the development appears on.</t>
        </is>
      </c>
      <c r="E229" s="5" t="inlineStr">
        <is>
          <t>Public permit / entitlement records</t>
        </is>
      </c>
      <c r="F229" s="23" t="inlineStr">
        <is>
          <t>Competing supply</t>
        </is>
      </c>
      <c r="G229" s="23" t="inlineStr">
        <is>
          <t>yes</t>
        </is>
      </c>
      <c r="H229" s="23" t="inlineStr">
        <is>
          <t>—</t>
        </is>
      </c>
    </row>
    <row r="230">
      <c r="A230" s="5" t="inlineStr">
        <is>
          <t>Supply</t>
        </is>
      </c>
      <c r="B230" s="5" t="inlineStr">
        <is>
          <t>supply_project_latest</t>
        </is>
      </c>
      <c r="C230" s="5" t="inlineStr">
        <is>
          <t>date</t>
        </is>
      </c>
      <c r="D230" s="23" t="inlineStr">
        <is>
          <t>Latest activity date across those layers.</t>
        </is>
      </c>
      <c r="E230" s="5" t="inlineStr">
        <is>
          <t>Public permit / entitlement records</t>
        </is>
      </c>
      <c r="F230" s="23" t="inlineStr">
        <is>
          <t>Competing supply</t>
        </is>
      </c>
      <c r="G230" s="23" t="inlineStr">
        <is>
          <t>yes</t>
        </is>
      </c>
      <c r="H230" s="23" t="inlineStr">
        <is>
          <t>—</t>
        </is>
      </c>
    </row>
    <row r="231">
      <c r="A231" s="5" t="inlineStr">
        <is>
          <t>Supply</t>
        </is>
      </c>
      <c r="B231" s="5" t="inlineStr">
        <is>
          <t>supply_project_layers</t>
        </is>
      </c>
      <c r="C231" s="5" t="inlineStr">
        <is>
          <t>text</t>
        </is>
      </c>
      <c r="D231" s="23" t="inlineStr">
        <is>
          <t>The pipeline layers the development appeared on. Layers are lifecycle views of the same market, so one development can appear on several and is counted once.</t>
        </is>
      </c>
      <c r="E231" s="5" t="inlineStr">
        <is>
          <t>Public permit / entitlement records</t>
        </is>
      </c>
      <c r="F231" s="23" t="inlineStr">
        <is>
          <t>Reference only — not a model input</t>
        </is>
      </c>
      <c r="G231" s="23" t="inlineStr">
        <is>
          <t>yes</t>
        </is>
      </c>
      <c r="H231" s="23" t="inlineStr">
        <is>
          <t>—</t>
        </is>
      </c>
    </row>
    <row r="232">
      <c r="A232" s="4" t="inlineStr">
        <is>
          <t>OM comparables</t>
        </is>
      </c>
      <c r="B232" s="4" t="n"/>
      <c r="C232" s="4" t="n"/>
      <c r="D232" s="4" t="n"/>
      <c r="E232" s="4" t="n"/>
      <c r="F232" s="4" t="n"/>
      <c r="G232" s="4" t="n"/>
      <c r="H232" s="4" t="n"/>
    </row>
    <row r="233">
      <c r="A233" s="5" t="inlineStr">
        <is>
          <t>OM comparables</t>
        </is>
      </c>
      <c r="B233" s="5" t="inlineStr">
        <is>
          <t>om_rent_comp_community</t>
        </is>
      </c>
      <c r="C233" s="5" t="inlineStr">
        <is>
          <t>text</t>
        </is>
      </c>
      <c r="D233" s="23" t="inlineStr">
        <is>
          <t>A rent comparable the memorandum states, by name; one row per comparable in the interchange.</t>
        </is>
      </c>
      <c r="E233" s="5" t="inlineStr">
        <is>
          <t>Offering memorandum / marketing package</t>
        </is>
      </c>
      <c r="F233" s="23" t="inlineStr">
        <is>
          <t>Rent comps (broker-stated)</t>
        </is>
      </c>
      <c r="G233" s="23" t="inlineStr">
        <is>
          <t>yes</t>
        </is>
      </c>
      <c r="H233" s="23" t="inlineStr">
        <is>
          <t>—</t>
        </is>
      </c>
    </row>
    <row r="234">
      <c r="A234" s="5" t="inlineStr">
        <is>
          <t>OM comparables</t>
        </is>
      </c>
      <c r="B234" s="5" t="inlineStr">
        <is>
          <t>om_rent_comp_distance_mi</t>
        </is>
      </c>
      <c r="C234" s="5" t="inlineStr">
        <is>
          <t>number</t>
        </is>
      </c>
      <c r="D234" s="23" t="inlineStr">
        <is>
          <t>Distance from the subject as the memorandum states it.</t>
        </is>
      </c>
      <c r="E234" s="5" t="inlineStr">
        <is>
          <t>Offering memorandum / marketing package</t>
        </is>
      </c>
      <c r="F234" s="23" t="inlineStr">
        <is>
          <t>Rent comps (broker-stated)</t>
        </is>
      </c>
      <c r="G234" s="23" t="inlineStr">
        <is>
          <t>yes</t>
        </is>
      </c>
      <c r="H234" s="23" t="inlineStr">
        <is>
          <t>—</t>
        </is>
      </c>
    </row>
    <row r="235">
      <c r="A235" s="5" t="inlineStr">
        <is>
          <t>OM comparables</t>
        </is>
      </c>
      <c r="B235" s="5" t="inlineStr">
        <is>
          <t>om_rent_comp_rent</t>
        </is>
      </c>
      <c r="C235" s="5" t="inlineStr">
        <is>
          <t>currency</t>
        </is>
      </c>
      <c r="D235" s="23" t="inlineStr">
        <is>
          <t>The monthly rent figure the memorandum states for that comparable; its basis is on the row.</t>
        </is>
      </c>
      <c r="E235" s="5" t="inlineStr">
        <is>
          <t>Offering memorandum / marketing package</t>
        </is>
      </c>
      <c r="F235" s="23" t="inlineStr">
        <is>
          <t>Rent comps (broker-stated)</t>
        </is>
      </c>
      <c r="G235" s="23" t="inlineStr">
        <is>
          <t>yes</t>
        </is>
      </c>
      <c r="H235" s="23" t="inlineStr">
        <is>
          <t>—</t>
        </is>
      </c>
    </row>
    <row r="236">
      <c r="A236" s="5" t="inlineStr">
        <is>
          <t>OM comparables</t>
        </is>
      </c>
      <c r="B236" s="5" t="inlineStr">
        <is>
          <t>om_sale_comp_property</t>
        </is>
      </c>
      <c r="C236" s="5" t="inlineStr">
        <is>
          <t>text</t>
        </is>
      </c>
      <c r="D236" s="23" t="inlineStr">
        <is>
          <t>A whole-community sale comparable the memorandum cites, by name.</t>
        </is>
      </c>
      <c r="E236" s="5" t="inlineStr">
        <is>
          <t>Offering memorandum / marketing package</t>
        </is>
      </c>
      <c r="F236" s="23" t="inlineStr">
        <is>
          <t>Sale comps (institutional)</t>
        </is>
      </c>
      <c r="G236" s="23" t="inlineStr">
        <is>
          <t>yes</t>
        </is>
      </c>
      <c r="H236" s="23" t="inlineStr">
        <is>
          <t>—</t>
        </is>
      </c>
    </row>
    <row r="237">
      <c r="A237" s="5" t="inlineStr">
        <is>
          <t>OM comparables</t>
        </is>
      </c>
      <c r="B237" s="5" t="inlineStr">
        <is>
          <t>om_sale_comp_price</t>
        </is>
      </c>
      <c r="C237" s="5" t="inlineStr">
        <is>
          <t>currency</t>
        </is>
      </c>
      <c r="D237" s="23" t="inlineStr">
        <is>
          <t>The stated sale price.</t>
        </is>
      </c>
      <c r="E237" s="5" t="inlineStr">
        <is>
          <t>Offering memorandum / marketing package</t>
        </is>
      </c>
      <c r="F237" s="23" t="inlineStr">
        <is>
          <t>Sale comps (institutional)</t>
        </is>
      </c>
      <c r="G237" s="23" t="inlineStr">
        <is>
          <t>yes</t>
        </is>
      </c>
      <c r="H237" s="23" t="inlineStr">
        <is>
          <t>—</t>
        </is>
      </c>
    </row>
    <row r="238">
      <c r="A238" s="5" t="inlineStr">
        <is>
          <t>OM comparables</t>
        </is>
      </c>
      <c r="B238" s="5" t="inlineStr">
        <is>
          <t>om_sale_comp_price_per_unit</t>
        </is>
      </c>
      <c r="C238" s="5" t="inlineStr">
        <is>
          <t>currency</t>
        </is>
      </c>
      <c r="D238" s="23" t="inlineStr">
        <is>
          <t>The stated price per unit.</t>
        </is>
      </c>
      <c r="E238" s="5" t="inlineStr">
        <is>
          <t>Offering memorandum / marketing package</t>
        </is>
      </c>
      <c r="F238" s="23" t="inlineStr">
        <is>
          <t>Sale comps (institutional)</t>
        </is>
      </c>
      <c r="G238" s="23" t="inlineStr">
        <is>
          <t>yes</t>
        </is>
      </c>
      <c r="H238" s="23" t="inlineStr">
        <is>
          <t>—</t>
        </is>
      </c>
    </row>
    <row r="239">
      <c r="A239" s="5" t="inlineStr">
        <is>
          <t>OM comparables</t>
        </is>
      </c>
      <c r="B239" s="5" t="inlineStr">
        <is>
          <t>om_sale_comp_cap_rate</t>
        </is>
      </c>
      <c r="C239" s="5" t="inlineStr">
        <is>
          <t>percent</t>
        </is>
      </c>
      <c r="D239" s="23" t="inlineStr">
        <is>
          <t>The stated cap rate, as a fraction.</t>
        </is>
      </c>
      <c r="E239" s="5" t="inlineStr">
        <is>
          <t>Offering memorandum / marketing package</t>
        </is>
      </c>
      <c r="F239" s="23" t="inlineStr">
        <is>
          <t>Sale comps (institutional)</t>
        </is>
      </c>
      <c r="G239" s="23" t="inlineStr">
        <is>
          <t>yes</t>
        </is>
      </c>
      <c r="H239" s="23" t="inlineStr">
        <is>
          <t>—</t>
        </is>
      </c>
    </row>
    <row r="240">
      <c r="A240" s="5" t="inlineStr">
        <is>
          <t>OM comparables</t>
        </is>
      </c>
      <c r="B240" s="5" t="inlineStr">
        <is>
          <t>om_sale_comp_date</t>
        </is>
      </c>
      <c r="C240" s="5" t="inlineStr">
        <is>
          <t>text</t>
        </is>
      </c>
      <c r="D240" s="23" t="inlineStr">
        <is>
          <t>The sale date as written.</t>
        </is>
      </c>
      <c r="E240" s="5" t="inlineStr">
        <is>
          <t>Offering memorandum / marketing package</t>
        </is>
      </c>
      <c r="F240" s="23" t="inlineStr">
        <is>
          <t>Sale comps (institutional)</t>
        </is>
      </c>
      <c r="G240" s="23" t="inlineStr">
        <is>
          <t>yes</t>
        </is>
      </c>
      <c r="H240" s="23" t="inlineStr">
        <is>
          <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5"/>
  <sheetViews>
    <sheetView workbookViewId="0">
      <pane ySplit="8" topLeftCell="A9" activePane="bottomLeft" state="frozen"/>
      <selection pane="bottomLeft" activeCell="A1" sqref="A1"/>
    </sheetView>
  </sheetViews>
  <sheetFormatPr baseColWidth="8" defaultRowHeight="15"/>
  <cols>
    <col width="34" customWidth="1" min="1" max="1"/>
    <col width="22" customWidth="1" min="2" max="2"/>
    <col width="34" customWidth="1" min="3" max="3"/>
    <col width="26" customWidth="1" min="4" max="4"/>
    <col width="11" customWidth="1" min="5" max="5"/>
    <col width="34" customWidth="1" min="6" max="6"/>
    <col width="62" customWidth="1" min="7" max="7"/>
  </cols>
  <sheetData>
    <row r="1">
      <c r="A1" s="1" t="inlineStr">
        <is>
          <t>Audit trail</t>
        </is>
      </c>
    </row>
    <row r="2">
      <c r="A2" s="2" t="inlineStr">
        <is>
          <t>Wildflower Crossing — as of 2025-11-12</t>
        </is>
      </c>
    </row>
    <row r="3">
      <c r="A3" s="2" t="inlineStr">
        <is>
          <t>The whole trail, every stamped value. Every value below names the document it came from and where in it. A derived value names the values it was built from — one that could not would not have passed validation.</t>
        </is>
      </c>
    </row>
    <row r="4">
      <c r="A4" s="3" t="n"/>
      <c r="B4" s="3" t="n"/>
      <c r="C4" s="3" t="n"/>
      <c r="D4" s="3" t="n"/>
      <c r="E4" s="3" t="n"/>
      <c r="F4" s="3" t="n"/>
      <c r="G4" s="3" t="n"/>
      <c r="H4" s="3" t="n"/>
    </row>
    <row r="5">
      <c r="A5" s="13" t="inlineStr">
        <is>
          <t>Stamped values in this workbook</t>
        </is>
      </c>
      <c r="B5" s="17" t="n">
        <v>57</v>
      </c>
    </row>
    <row r="6">
      <c r="A6" s="13" t="inlineStr">
        <is>
          <t>Coverage of the required set</t>
        </is>
      </c>
      <c r="B6" t="inlineStr">
        <is>
          <t>52/52 (100%)</t>
        </is>
      </c>
    </row>
    <row r="8">
      <c r="A8" s="14" t="inlineStr">
        <is>
          <t>Value</t>
        </is>
      </c>
      <c r="B8" s="14" t="inlineStr">
        <is>
          <t>Value as published</t>
        </is>
      </c>
      <c r="C8" s="14" t="inlineStr">
        <is>
          <t>Source document</t>
        </is>
      </c>
      <c r="D8" s="14" t="inlineStr">
        <is>
          <t>Where in it</t>
        </is>
      </c>
      <c r="E8" s="14" t="inlineStr">
        <is>
          <t>How</t>
        </is>
      </c>
      <c r="F8" s="14" t="inlineStr">
        <is>
          <t>Built from</t>
        </is>
      </c>
      <c r="G8" s="14" t="inlineStr">
        <is>
          <t>Supporting quote / note</t>
        </is>
      </c>
    </row>
    <row r="9">
      <c r="A9" s="30" t="inlineStr">
        <is>
          <t>closing_costs.mortgage_tax.amount</t>
        </is>
      </c>
      <c r="B9" s="5" t="inlineStr">
        <is>
          <t>MISSING</t>
        </is>
      </c>
      <c r="C9" s="5" t="inlineStr">
        <is>
          <t>Not run in the upload demo</t>
        </is>
      </c>
      <c r="D9" s="5" t="inlineStr">
        <is>
          <t>—</t>
        </is>
      </c>
      <c r="E9" s="5" t="inlineStr">
        <is>
          <t>read</t>
        </is>
      </c>
      <c r="F9" s="12" t="n"/>
      <c r="G9" s="23" t="inlineStr">
        <is>
          <t>Not run in the upload demo. This section needs data sources the demo does not reach, so it is left empty rather than filled with placeholders.</t>
        </is>
      </c>
    </row>
    <row r="10">
      <c r="A10" s="30" t="inlineStr">
        <is>
          <t>closing_costs.transfer_tax.amount</t>
        </is>
      </c>
      <c r="B10" s="5" t="inlineStr">
        <is>
          <t>MISSING</t>
        </is>
      </c>
      <c r="C10" s="5" t="inlineStr">
        <is>
          <t>Not run in the upload demo</t>
        </is>
      </c>
      <c r="D10" s="5" t="inlineStr">
        <is>
          <t>—</t>
        </is>
      </c>
      <c r="E10" s="5" t="inlineStr">
        <is>
          <t>read</t>
        </is>
      </c>
      <c r="F10" s="12" t="n"/>
      <c r="G10" s="23" t="inlineStr">
        <is>
          <t>Not run in the upload demo. This section needs data sources the demo does not reach, so it is left empty rather than filled with placeholders.</t>
        </is>
      </c>
    </row>
    <row r="11">
      <c r="A11" s="30" t="inlineStr">
        <is>
          <t>comps.nearby</t>
        </is>
      </c>
      <c r="B11" s="5" t="inlineStr">
        <is>
          <t>0 entries</t>
        </is>
      </c>
      <c r="C11" s="5" t="inlineStr">
        <is>
          <t>Not run in the upload demo</t>
        </is>
      </c>
      <c r="D11" s="5" t="inlineStr">
        <is>
          <t>—</t>
        </is>
      </c>
      <c r="E11" s="5" t="inlineStr">
        <is>
          <t>read</t>
        </is>
      </c>
      <c r="F11" s="12" t="n"/>
      <c r="G11" s="23" t="inlineStr">
        <is>
          <t>Not run in the upload demo. This section needs data sources the demo does not reach, so it is left empty rather than filled with placeholders.</t>
        </is>
      </c>
    </row>
    <row r="12">
      <c r="A12" s="30" t="inlineStr">
        <is>
          <t>comps.rows</t>
        </is>
      </c>
      <c r="B12" s="5" t="inlineStr">
        <is>
          <t>0 entries</t>
        </is>
      </c>
      <c r="C12" s="5" t="inlineStr">
        <is>
          <t>Not run in the upload demo</t>
        </is>
      </c>
      <c r="D12" s="5" t="inlineStr">
        <is>
          <t>—</t>
        </is>
      </c>
      <c r="E12" s="5" t="inlineStr">
        <is>
          <t>read</t>
        </is>
      </c>
      <c r="F12" s="12" t="n"/>
      <c r="G12" s="23" t="inlineStr">
        <is>
          <t>Not run in the upload demo. This section needs data sources the demo does not reach, so it is left empty rather than filled with placeholders.</t>
        </is>
      </c>
    </row>
    <row r="13">
      <c r="A13" s="30" t="inlineStr">
        <is>
          <t>comps.rows.tier</t>
        </is>
      </c>
      <c r="B13" s="5" t="inlineStr">
        <is>
          <t>—</t>
        </is>
      </c>
      <c r="C13" s="5" t="inlineStr">
        <is>
          <t>Not run in the upload demo</t>
        </is>
      </c>
      <c r="D13" s="5" t="inlineStr">
        <is>
          <t>—</t>
        </is>
      </c>
      <c r="E13" s="5" t="inlineStr">
        <is>
          <t>read</t>
        </is>
      </c>
      <c r="F13" s="12" t="n"/>
      <c r="G13" s="23" t="inlineStr">
        <is>
          <t>Not run in the upload demo. This section needs data sources the demo does not reach, so it is left empty rather than filled with placeholders.</t>
        </is>
      </c>
    </row>
    <row r="14">
      <c r="A14" s="30" t="inlineStr">
        <is>
          <t>demand.rings</t>
        </is>
      </c>
      <c r="B14" s="5" t="inlineStr">
        <is>
          <t>0 entries</t>
        </is>
      </c>
      <c r="C14" s="5" t="inlineStr">
        <is>
          <t>Not run in the upload demo</t>
        </is>
      </c>
      <c r="D14" s="5" t="inlineStr">
        <is>
          <t>—</t>
        </is>
      </c>
      <c r="E14" s="5" t="inlineStr">
        <is>
          <t>read</t>
        </is>
      </c>
      <c r="F14" s="12" t="n"/>
      <c r="G14" s="23" t="inlineStr">
        <is>
          <t>Not run in the upload demo. This section needs data sources the demo does not reach, so it is left empty rather than filled with placeholders.</t>
        </is>
      </c>
    </row>
    <row r="15">
      <c r="A15" s="30" t="inlineStr">
        <is>
          <t>pricing.document_price_per_unit</t>
        </is>
      </c>
      <c r="B15" s="5" t="inlineStr">
        <is>
          <t>308,333.33</t>
        </is>
      </c>
      <c r="C15" s="5" t="inlineStr">
        <is>
          <t>Wildflower Crossing Offering Memorandum.pdf</t>
        </is>
      </c>
      <c r="D15" s="5" t="inlineStr">
        <is>
          <t>p.1</t>
        </is>
      </c>
      <c r="E15" s="5" t="inlineStr">
        <is>
          <t>derived</t>
        </is>
      </c>
      <c r="F15" s="5" t="inlineStr">
        <is>
          <t>summary.pricing_guidance, rent_roll.units</t>
        </is>
      </c>
      <c r="G15" s="23" t="inlineStr">
        <is>
          <t>Derived from the stated total and the rent roll's 24 units: the document states a total price of $7,400,000, the uploaded rent roll counts 24 units, and this is that total divided by that count. The document did not state a per-unit price.</t>
        </is>
      </c>
    </row>
    <row r="16">
      <c r="A16" s="30" t="inlineStr">
        <is>
          <t>pricing.price_per_unit</t>
        </is>
      </c>
      <c r="B16" s="5" t="inlineStr">
        <is>
          <t>215,000</t>
        </is>
      </c>
      <c r="C16" s="5" t="inlineStr">
        <is>
          <t>The upload form's price field</t>
        </is>
      </c>
      <c r="D16" s="5" t="inlineStr">
        <is>
          <t>—</t>
        </is>
      </c>
      <c r="E16" s="5" t="inlineStr">
        <is>
          <t>read</t>
        </is>
      </c>
      <c r="F16" s="12" t="n"/>
      <c r="G16" s="23" t="inlineStr">
        <is>
          <t>The purchase price per unit the visitor entered, inside the sale-price band. It outranks a price in the notes box or the memorandum.</t>
        </is>
      </c>
    </row>
    <row r="17">
      <c r="A17" s="30" t="inlineStr">
        <is>
          <t>pricing.units_total</t>
        </is>
      </c>
      <c r="B17" s="5" t="inlineStr">
        <is>
          <t>24</t>
        </is>
      </c>
      <c r="C17" s="5" t="inlineStr">
        <is>
          <t>Wildflower Crossing Rent Roll.xlsx</t>
        </is>
      </c>
      <c r="D17" s="5" t="inlineStr">
        <is>
          <t>—</t>
        </is>
      </c>
      <c r="E17" s="5" t="inlineStr">
        <is>
          <t>derived</t>
        </is>
      </c>
      <c r="F17" s="5" t="inlineStr">
        <is>
          <t>summary.units_total</t>
        </is>
      </c>
      <c r="G17" s="23" t="inlineStr">
        <is>
          <t>The same count the summary carries, counted from the rows of the uploaded rent roll.</t>
        </is>
      </c>
    </row>
    <row r="18">
      <c r="A18" s="30" t="inlineStr">
        <is>
          <t>rent_roll.as_of</t>
        </is>
      </c>
      <c r="B18" s="5" t="inlineStr">
        <is>
          <t>2025-11-12</t>
        </is>
      </c>
      <c r="C18" s="5" t="inlineStr">
        <is>
          <t>Wildflower Crossing Rent Roll.xlsx</t>
        </is>
      </c>
      <c r="D18" s="5" t="inlineStr">
        <is>
          <t>—</t>
        </is>
      </c>
      <c r="E18" s="5" t="inlineStr">
        <is>
          <t>derived</t>
        </is>
      </c>
      <c r="F18" s="5" t="inlineStr">
        <is>
          <t>rent_roll.units</t>
        </is>
      </c>
      <c r="G18" s="23" t="inlineStr">
        <is>
          <t>The roll states no as-of date, so this is inferred from the newest lease date on it.</t>
        </is>
      </c>
    </row>
    <row r="19">
      <c r="A19" s="30" t="inlineStr">
        <is>
          <t>rent_roll.lookback_months</t>
        </is>
      </c>
      <c r="B19" s="5" t="inlineStr">
        <is>
          <t>12</t>
        </is>
      </c>
      <c r="C19" s="5" t="inlineStr">
        <is>
          <t>Not stated in the uploaded documents</t>
        </is>
      </c>
      <c r="D19" s="5" t="inlineStr">
        <is>
          <t>—</t>
        </is>
      </c>
      <c r="E19" s="5" t="inlineStr">
        <is>
          <t>read</t>
        </is>
      </c>
      <c r="F19" s="12" t="n"/>
      <c r="G19" s="23" t="inlineStr">
        <is>
          <t>This demo's default of 12 — the months of lease history the turnover figures look back over. No uploaded document or note set it.</t>
        </is>
      </c>
    </row>
    <row r="20">
      <c r="A20" s="30" t="inlineStr">
        <is>
          <t>rent_roll.new_tenant_tolerance_days</t>
        </is>
      </c>
      <c r="B20" s="5" t="inlineStr">
        <is>
          <t>31</t>
        </is>
      </c>
      <c r="C20" s="5" t="inlineStr">
        <is>
          <t>Not stated in the uploaded documents</t>
        </is>
      </c>
      <c r="D20" s="5" t="inlineStr">
        <is>
          <t>—</t>
        </is>
      </c>
      <c r="E20" s="5" t="inlineStr">
        <is>
          <t>read</t>
        </is>
      </c>
      <c r="F20" s="12" t="n"/>
      <c r="G20" s="23" t="inlineStr">
        <is>
          <t>This demo's default of 31 — the days a lease start may sit from a move-in and still count as the same event. No uploaded document or note set it.</t>
        </is>
      </c>
    </row>
    <row r="21">
      <c r="A21" s="30" t="inlineStr">
        <is>
          <t>rent_roll.units</t>
        </is>
      </c>
      <c r="B21" s="5" t="inlineStr">
        <is>
          <t>24 entries</t>
        </is>
      </c>
      <c r="C21" s="5" t="inlineStr">
        <is>
          <t>Wildflower Crossing Rent Roll.xlsx</t>
        </is>
      </c>
      <c r="D21" s="5" t="inlineStr">
        <is>
          <t>roll</t>
        </is>
      </c>
      <c r="E21" s="5" t="inlineStr">
        <is>
          <t>read</t>
        </is>
      </c>
      <c r="F21" s="12" t="n"/>
      <c r="G21" s="23" t="inlineStr">
        <is>
          <t>Read from the uploaded rent roll.</t>
        </is>
      </c>
    </row>
    <row r="22">
      <c r="A22" s="30" t="inlineStr">
        <is>
          <t>summary.assessed_value_basis</t>
        </is>
      </c>
      <c r="B22" s="5" t="inlineStr">
        <is>
          <t>MISSING</t>
        </is>
      </c>
      <c r="C22" s="5" t="inlineStr">
        <is>
          <t>Internal pipeline only</t>
        </is>
      </c>
      <c r="D22" s="5" t="inlineStr">
        <is>
          <t>—</t>
        </is>
      </c>
      <c r="E22" s="5" t="inlineStr">
        <is>
          <t>read</t>
        </is>
      </c>
      <c r="F22" s="12" t="n"/>
      <c r="G22" s="23" t="inlineStr">
        <is>
          <t>See parcel: read off the county assessor's portal by the internal pipeline only.</t>
        </is>
      </c>
    </row>
    <row r="23">
      <c r="A23" s="30" t="inlineStr">
        <is>
          <t>summary.assessment_ratio</t>
        </is>
      </c>
      <c r="B23" s="5" t="inlineStr">
        <is>
          <t>0.1</t>
        </is>
      </c>
      <c r="C23" s="5" t="inlineStr">
        <is>
          <t>Vendored county rate table</t>
        </is>
      </c>
      <c r="D23" s="5" t="inlineStr">
        <is>
          <t>property_tax_table.STATE_RULES['AZ']</t>
        </is>
      </c>
      <c r="E23" s="5" t="inlineStr">
        <is>
          <t>read</t>
        </is>
      </c>
      <c r="F23" s="12" t="n"/>
      <c r="G23" s="23" t="inlineStr">
        <is>
          <t>10% — legal class 4.2, residential rental. A.R.S. sec. 42-15003 (class four assessed at 10%); A.R.S. sec. 42-12004 (class four includes residential rental property).</t>
        </is>
      </c>
    </row>
    <row r="24">
      <c r="A24" s="30" t="inlineStr">
        <is>
          <t>summary.city</t>
        </is>
      </c>
      <c r="B24" s="5" t="inlineStr">
        <is>
          <t>Mesa</t>
        </is>
      </c>
      <c r="C24" s="5" t="inlineStr">
        <is>
          <t>Wildflower Crossing Offering Memorandum.pdf</t>
        </is>
      </c>
      <c r="D24" s="5" t="inlineStr">
        <is>
          <t>p.1</t>
        </is>
      </c>
      <c r="E24" s="5" t="inlineStr">
        <is>
          <t>read</t>
        </is>
      </c>
      <c r="F24" s="12" t="n"/>
      <c r="G24" s="23" t="inlineStr">
        <is>
          <t>ry figure below is made up for testing.
Address: 100 Example Way, Mesa, Maricopa County, AZ 85204 (an invented</t>
        </is>
      </c>
    </row>
    <row r="25">
      <c r="A25" s="30" t="inlineStr">
        <is>
          <t>summary.construction_status</t>
        </is>
      </c>
      <c r="B25" s="5" t="inlineStr">
        <is>
          <t>MISSING</t>
        </is>
      </c>
      <c r="C25" s="5" t="inlineStr">
        <is>
          <t>Not stated in the uploaded documents</t>
        </is>
      </c>
      <c r="D25" s="5" t="inlineStr">
        <is>
          <t>—</t>
        </is>
      </c>
      <c r="E25" s="5" t="inlineStr">
        <is>
          <t>read</t>
        </is>
      </c>
      <c r="F25" s="12" t="n"/>
      <c r="G25" s="23" t="inlineStr">
        <is>
          <t>No uploaded document stated this, so the value reads MISSING. Nothing was assumed to fill it.</t>
        </is>
      </c>
    </row>
    <row r="26">
      <c r="A26" s="30" t="inlineStr">
        <is>
          <t>summary.county</t>
        </is>
      </c>
      <c r="B26" s="5" t="inlineStr">
        <is>
          <t>Maricopa</t>
        </is>
      </c>
      <c r="C26" s="5" t="inlineStr">
        <is>
          <t>Wildflower Crossing Offering Memorandum.pdf</t>
        </is>
      </c>
      <c r="D26" s="5" t="inlineStr">
        <is>
          <t>p.1</t>
        </is>
      </c>
      <c r="E26" s="5" t="inlineStr">
        <is>
          <t>read</t>
        </is>
      </c>
      <c r="F26" s="12" t="n"/>
      <c r="G26" s="23" t="inlineStr">
        <is>
          <t>esting.
Address: 100 Example Way, Mesa, Maricopa County, AZ 85204 (an invented address).
Execut</t>
        </is>
      </c>
    </row>
    <row r="27">
      <c r="A27" s="30" t="inlineStr">
        <is>
          <t>summary.deal_name</t>
        </is>
      </c>
      <c r="B27" s="5" t="inlineStr">
        <is>
          <t>Wildflower Crossing</t>
        </is>
      </c>
      <c r="C27" s="5" t="inlineStr">
        <is>
          <t>Wildflower Crossing Offering Memorandum.pdf</t>
        </is>
      </c>
      <c r="D27" s="5" t="inlineStr">
        <is>
          <t>p.1</t>
        </is>
      </c>
      <c r="E27" s="5" t="inlineStr">
        <is>
          <t>read</t>
        </is>
      </c>
      <c r="F27" s="12" t="n"/>
      <c r="G27" s="23" t="inlineStr">
        <is>
          <t>[[page 1]]
Wildflower Crossing - Offering Memorandum
A wholly invented property. Every figur</t>
        </is>
      </c>
    </row>
    <row r="28">
      <c r="A28" s="30" t="inlineStr">
        <is>
          <t>summary.deal_status</t>
        </is>
      </c>
      <c r="B28" s="5" t="inlineStr">
        <is>
          <t>MISSING</t>
        </is>
      </c>
      <c r="C28" s="5" t="inlineStr">
        <is>
          <t>Not stated in the uploaded documents</t>
        </is>
      </c>
      <c r="D28" s="5" t="inlineStr">
        <is>
          <t>—</t>
        </is>
      </c>
      <c r="E28" s="5" t="inlineStr">
        <is>
          <t>read</t>
        </is>
      </c>
      <c r="F28" s="12" t="n"/>
      <c r="G28" s="23" t="inlineStr">
        <is>
          <t>No uploaded document stated this, so the value reads MISSING. Nothing was assumed to fill it.</t>
        </is>
      </c>
    </row>
    <row r="29">
      <c r="A29" s="30" t="inlineStr">
        <is>
          <t>summary.delivery_date</t>
        </is>
      </c>
      <c r="B29" s="5" t="inlineStr">
        <is>
          <t>MISSING</t>
        </is>
      </c>
      <c r="C29" s="5" t="inlineStr">
        <is>
          <t>Not stated in the uploaded documents</t>
        </is>
      </c>
      <c r="D29" s="5" t="inlineStr">
        <is>
          <t>—</t>
        </is>
      </c>
      <c r="E29" s="5" t="inlineStr">
        <is>
          <t>read</t>
        </is>
      </c>
      <c r="F29" s="12" t="n"/>
      <c r="G29" s="23" t="inlineStr">
        <is>
          <t>No uploaded document stated this, so the value reads MISSING. Nothing was assumed to fill it.</t>
        </is>
      </c>
    </row>
    <row r="30">
      <c r="A30" s="30" t="inlineStr">
        <is>
          <t>summary.fair_market_value</t>
        </is>
      </c>
      <c r="B30" s="5" t="inlineStr">
        <is>
          <t>MISSING</t>
        </is>
      </c>
      <c r="C30" s="5" t="inlineStr">
        <is>
          <t>Not stated in the uploaded documents</t>
        </is>
      </c>
      <c r="D30" s="5" t="inlineStr">
        <is>
          <t>—</t>
        </is>
      </c>
      <c r="E30" s="5" t="inlineStr">
        <is>
          <t>read</t>
        </is>
      </c>
      <c r="F30" s="12" t="n"/>
      <c r="G30" s="23" t="inlineStr">
        <is>
          <t>No uploaded document stated this, so the value reads MISSING. Nothing was assumed to fill it.</t>
        </is>
      </c>
    </row>
    <row r="31">
      <c r="A31" s="30" t="inlineStr">
        <is>
          <t>summary.in_place_rent_avg</t>
        </is>
      </c>
      <c r="B31" s="5" t="inlineStr">
        <is>
          <t>2,456.67</t>
        </is>
      </c>
      <c r="C31" s="5" t="inlineStr">
        <is>
          <t>Wildflower Crossing Rent Roll.xlsx</t>
        </is>
      </c>
      <c r="D31" s="5" t="inlineStr">
        <is>
          <t>—</t>
        </is>
      </c>
      <c r="E31" s="5" t="inlineStr">
        <is>
          <t>derived</t>
        </is>
      </c>
      <c r="F31" s="5" t="inlineStr">
        <is>
          <t>rent_roll.units</t>
        </is>
      </c>
      <c r="G31" s="23" t="inlineStr">
        <is>
          <t>Unit-weighted across the uploaded roll.</t>
        </is>
      </c>
    </row>
    <row r="32">
      <c r="A32" s="30" t="inlineStr">
        <is>
          <t>summary.listing_brokerage</t>
        </is>
      </c>
      <c r="B32" s="5" t="inlineStr">
        <is>
          <t>MISSING</t>
        </is>
      </c>
      <c r="C32" s="5" t="inlineStr">
        <is>
          <t>Not stated in the uploaded documents</t>
        </is>
      </c>
      <c r="D32" s="5" t="inlineStr">
        <is>
          <t>—</t>
        </is>
      </c>
      <c r="E32" s="5" t="inlineStr">
        <is>
          <t>read</t>
        </is>
      </c>
      <c r="F32" s="12" t="n"/>
      <c r="G32" s="23" t="inlineStr">
        <is>
          <t>No uploaded document stated this, so the value reads MISSING. Nothing was assumed to fill it.</t>
        </is>
      </c>
    </row>
    <row r="33">
      <c r="A33" s="30" t="inlineStr">
        <is>
          <t>summary.market_rent_for_model</t>
        </is>
      </c>
      <c r="B33" s="5" t="inlineStr">
        <is>
          <t>2,456.67</t>
        </is>
      </c>
      <c r="C33" s="5" t="inlineStr">
        <is>
          <t>Wildflower Crossing Rent Roll.xlsx</t>
        </is>
      </c>
      <c r="D33" s="5" t="inlineStr">
        <is>
          <t>—</t>
        </is>
      </c>
      <c r="E33" s="5" t="inlineStr">
        <is>
          <t>derived</t>
        </is>
      </c>
      <c r="F33" s="5" t="inlineStr">
        <is>
          <t>rent_roll.units</t>
        </is>
      </c>
      <c r="G33" s="23" t="inlineStr">
        <is>
          <t>Unit-weighted across the uploaded roll.</t>
        </is>
      </c>
    </row>
    <row r="34">
      <c r="A34" s="30" t="inlineStr">
        <is>
          <t>summary.msa</t>
        </is>
      </c>
      <c r="B34" s="5" t="inlineStr">
        <is>
          <t>MISSING</t>
        </is>
      </c>
      <c r="C34" s="5" t="inlineStr">
        <is>
          <t>Not stated in the uploaded documents</t>
        </is>
      </c>
      <c r="D34" s="5" t="inlineStr">
        <is>
          <t>—</t>
        </is>
      </c>
      <c r="E34" s="5" t="inlineStr">
        <is>
          <t>read</t>
        </is>
      </c>
      <c r="F34" s="12" t="n"/>
      <c r="G34" s="23" t="inlineStr">
        <is>
          <t>No uploaded document stated this, so the value reads MISSING. Nothing was assumed to fill it.</t>
        </is>
      </c>
    </row>
    <row r="35">
      <c r="A35" s="30" t="inlineStr">
        <is>
          <t>summary.pricing_guidance</t>
        </is>
      </c>
      <c r="B35" s="5" t="inlineStr">
        <is>
          <t>$215,000 per unit (entered on the upload form); the memorandum's own figure is $308,333…</t>
        </is>
      </c>
      <c r="C35" s="5" t="inlineStr">
        <is>
          <t>Wildflower Crossing Offering Memorandum.pdf</t>
        </is>
      </c>
      <c r="D35" s="5" t="inlineStr">
        <is>
          <t>p.1</t>
        </is>
      </c>
      <c r="E35" s="5" t="inlineStr">
        <is>
          <t>read</t>
        </is>
      </c>
      <c r="F35" s="12" t="n"/>
      <c r="G35" s="23" t="inlineStr">
        <is>
          <t>.
Year built: 2021.  Occupancy: 93.8%.  Asking price: $7,400,000.
Capitalization rate: 5.35% on in-place</t>
        </is>
      </c>
    </row>
    <row r="36">
      <c r="A36" s="30" t="inlineStr">
        <is>
          <t>summary.product_detail</t>
        </is>
      </c>
      <c r="B36" s="5" t="inlineStr">
        <is>
          <t>MISSING</t>
        </is>
      </c>
      <c r="C36" s="5" t="inlineStr">
        <is>
          <t>Not stated in the uploaded documents</t>
        </is>
      </c>
      <c r="D36" s="5" t="inlineStr">
        <is>
          <t>—</t>
        </is>
      </c>
      <c r="E36" s="5" t="inlineStr">
        <is>
          <t>read</t>
        </is>
      </c>
      <c r="F36" s="12" t="n"/>
      <c r="G36" s="23" t="inlineStr">
        <is>
          <t>No uploaded document stated this, so the value reads MISSING. Nothing was assumed to fill it.</t>
        </is>
      </c>
    </row>
    <row r="37">
      <c r="A37" s="30" t="inlineStr">
        <is>
          <t>summary.product_type</t>
        </is>
      </c>
      <c r="B37" s="5" t="inlineStr">
        <is>
          <t>build-for-rent</t>
        </is>
      </c>
      <c r="C37" s="5" t="inlineStr">
        <is>
          <t>Wildflower Crossing Offering Memorandum.pdf</t>
        </is>
      </c>
      <c r="D37" s="5" t="inlineStr">
        <is>
          <t>p.1</t>
        </is>
      </c>
      <c r="E37" s="5" t="inlineStr">
        <is>
          <t>read</t>
        </is>
      </c>
      <c r="F37" s="12" t="n"/>
      <c r="G37" s="23" t="inlineStr">
        <is>
          <t>ummary
Wildflower Crossing is a 24-unit build-for-rent community in a market that does not exi</t>
        </is>
      </c>
    </row>
    <row r="38">
      <c r="A38" s="30" t="inlineStr">
        <is>
          <t>summary.school_elementary_name</t>
        </is>
      </c>
      <c r="B38" s="5" t="inlineStr">
        <is>
          <t>MISSING</t>
        </is>
      </c>
      <c r="C38" s="5" t="inlineStr">
        <is>
          <t>Not stated in the uploaded documents</t>
        </is>
      </c>
      <c r="D38" s="5" t="inlineStr">
        <is>
          <t>—</t>
        </is>
      </c>
      <c r="E38" s="5" t="inlineStr">
        <is>
          <t>read</t>
        </is>
      </c>
      <c r="F38" s="12" t="n"/>
      <c r="G38" s="23" t="inlineStr">
        <is>
          <t>No uploaded document stated this, so the value reads MISSING. Nothing was assumed to fill it.</t>
        </is>
      </c>
    </row>
    <row r="39">
      <c r="A39" s="30" t="inlineStr">
        <is>
          <t>summary.school_high_name</t>
        </is>
      </c>
      <c r="B39" s="5" t="inlineStr">
        <is>
          <t>MISSING</t>
        </is>
      </c>
      <c r="C39" s="5" t="inlineStr">
        <is>
          <t>Not stated in the uploaded documents</t>
        </is>
      </c>
      <c r="D39" s="5" t="inlineStr">
        <is>
          <t>—</t>
        </is>
      </c>
      <c r="E39" s="5" t="inlineStr">
        <is>
          <t>read</t>
        </is>
      </c>
      <c r="F39" s="12" t="n"/>
      <c r="G39" s="23" t="inlineStr">
        <is>
          <t>No uploaded document stated this, so the value reads MISSING. Nothing was assumed to fill it.</t>
        </is>
      </c>
    </row>
    <row r="40">
      <c r="A40" s="30" t="inlineStr">
        <is>
          <t>summary.school_middle_name</t>
        </is>
      </c>
      <c r="B40" s="5" t="inlineStr">
        <is>
          <t>MISSING</t>
        </is>
      </c>
      <c r="C40" s="5" t="inlineStr">
        <is>
          <t>Not stated in the uploaded documents</t>
        </is>
      </c>
      <c r="D40" s="5" t="inlineStr">
        <is>
          <t>—</t>
        </is>
      </c>
      <c r="E40" s="5" t="inlineStr">
        <is>
          <t>read</t>
        </is>
      </c>
      <c r="F40" s="12" t="n"/>
      <c r="G40" s="23" t="inlineStr">
        <is>
          <t>No uploaded document stated this, so the value reads MISSING. Nothing was assumed to fill it.</t>
        </is>
      </c>
    </row>
    <row r="41">
      <c r="A41" s="30" t="inlineStr">
        <is>
          <t>summary.seller_entity</t>
        </is>
      </c>
      <c r="B41" s="5" t="inlineStr">
        <is>
          <t>MISSING</t>
        </is>
      </c>
      <c r="C41" s="5" t="inlineStr">
        <is>
          <t>Not stated in the uploaded documents</t>
        </is>
      </c>
      <c r="D41" s="5" t="inlineStr">
        <is>
          <t>—</t>
        </is>
      </c>
      <c r="E41" s="5" t="inlineStr">
        <is>
          <t>read</t>
        </is>
      </c>
      <c r="F41" s="12" t="n"/>
      <c r="G41" s="23" t="inlineStr">
        <is>
          <t>No uploaded document stated this, so the value reads MISSING. Nothing was assumed to fill it.</t>
        </is>
      </c>
    </row>
    <row r="42">
      <c r="A42" s="30" t="inlineStr">
        <is>
          <t>summary.state</t>
        </is>
      </c>
      <c r="B42" s="5" t="inlineStr">
        <is>
          <t>AZ</t>
        </is>
      </c>
      <c r="C42" s="5" t="inlineStr">
        <is>
          <t>Wildflower Crossing Offering Memorandum.pdf</t>
        </is>
      </c>
      <c r="D42" s="5" t="inlineStr">
        <is>
          <t>p.1</t>
        </is>
      </c>
      <c r="E42" s="5" t="inlineStr">
        <is>
          <t>read</t>
        </is>
      </c>
      <c r="F42" s="12" t="n"/>
      <c r="G42" s="23" t="inlineStr">
        <is>
          <t>ddress: 100 Example Way, Mesa, Maricopa County, AZ 85204 (an invented address).
Executive</t>
        </is>
      </c>
    </row>
    <row r="43">
      <c r="A43" s="30" t="inlineStr">
        <is>
          <t>summary.street_address</t>
        </is>
      </c>
      <c r="B43" s="5" t="inlineStr">
        <is>
          <t>100 Example Way</t>
        </is>
      </c>
      <c r="C43" s="5" t="inlineStr">
        <is>
          <t>Wildflower Crossing Offering Memorandum.pdf</t>
        </is>
      </c>
      <c r="D43" s="5" t="inlineStr">
        <is>
          <t>p.1</t>
        </is>
      </c>
      <c r="E43" s="5" t="inlineStr">
        <is>
          <t>read</t>
        </is>
      </c>
      <c r="F43" s="12" t="n"/>
      <c r="G43" s="23" t="inlineStr">
        <is>
          <t>ry figure below is made up for testing.
Address: 100 Example Way, Mesa, Maricopa County, AZ 85204 (an inv</t>
        </is>
      </c>
    </row>
    <row r="44">
      <c r="A44" s="30" t="inlineStr">
        <is>
          <t>summary.structure</t>
        </is>
      </c>
      <c r="B44" s="5" t="inlineStr">
        <is>
          <t>MISSING</t>
        </is>
      </c>
      <c r="C44" s="5" t="inlineStr">
        <is>
          <t>Not stated in the uploaded documents</t>
        </is>
      </c>
      <c r="D44" s="5" t="inlineStr">
        <is>
          <t>—</t>
        </is>
      </c>
      <c r="E44" s="5" t="inlineStr">
        <is>
          <t>read</t>
        </is>
      </c>
      <c r="F44" s="12" t="n"/>
      <c r="G44" s="23" t="inlineStr">
        <is>
          <t>No uploaded document stated this, so the value reads MISSING. Nothing was assumed to fill it.</t>
        </is>
      </c>
    </row>
    <row r="45">
      <c r="A45" s="30" t="inlineStr">
        <is>
          <t>summary.tax_area_code</t>
        </is>
      </c>
      <c r="B45" s="5" t="inlineStr">
        <is>
          <t>MISSING</t>
        </is>
      </c>
      <c r="C45" s="5" t="inlineStr">
        <is>
          <t>Internal pipeline only</t>
        </is>
      </c>
      <c r="D45" s="5" t="inlineStr">
        <is>
          <t>—</t>
        </is>
      </c>
      <c r="E45" s="5" t="inlineStr">
        <is>
          <t>read</t>
        </is>
      </c>
      <c r="F45" s="12" t="n"/>
      <c r="G45" s="23" t="inlineStr">
        <is>
          <t>See parcel: read off the county assessor's portal by the internal pipeline only.</t>
        </is>
      </c>
    </row>
    <row r="46">
      <c r="A46" s="30" t="inlineStr">
        <is>
          <t>summary.tax_basis_label</t>
        </is>
      </c>
      <c r="B46" s="5" t="inlineStr">
        <is>
          <t>Limited property value (LPV), per the county assessor</t>
        </is>
      </c>
      <c r="C46" s="5" t="inlineStr">
        <is>
          <t>Vendored county rate table</t>
        </is>
      </c>
      <c r="D46" s="5" t="inlineStr">
        <is>
          <t>property_tax_table.STATE_RULES['AZ']</t>
        </is>
      </c>
      <c r="E46" s="5" t="inlineStr">
        <is>
          <t>read</t>
        </is>
      </c>
      <c r="F46" s="12" t="n"/>
      <c r="G46" s="23" t="inlineStr">
        <is>
          <t>What the assessed basis is in this state.</t>
        </is>
      </c>
    </row>
    <row r="47">
      <c r="A47" s="30" t="inlineStr">
        <is>
          <t>summary.tax_basis_note</t>
        </is>
      </c>
      <c r="B47" s="5" t="inlineStr">
        <is>
          <t>Arizona taxes the limited property value, not the price. Under Proposition 117 (Ariz. C…</t>
        </is>
      </c>
      <c r="C47" s="5" t="inlineStr">
        <is>
          <t>Vendored county rate table</t>
        </is>
      </c>
      <c r="D47" s="5" t="inlineStr">
        <is>
          <t>property_tax_table.STATE_RULES['AZ']</t>
        </is>
      </c>
      <c r="E47" s="5" t="inlineStr">
        <is>
          <t>read</t>
        </is>
      </c>
      <c r="F47" s="12" t="n"/>
      <c r="G47" s="23" t="inlineStr">
        <is>
          <t>How the basis behaves on a sale, with the authority.</t>
        </is>
      </c>
    </row>
    <row r="48">
      <c r="A48" s="30" t="inlineStr">
        <is>
          <t>summary.tax_billed_amount</t>
        </is>
      </c>
      <c r="B48" s="5" t="inlineStr">
        <is>
          <t>MISSING</t>
        </is>
      </c>
      <c r="C48" s="5" t="inlineStr">
        <is>
          <t>Internal pipeline only</t>
        </is>
      </c>
      <c r="D48" s="5" t="inlineStr">
        <is>
          <t>—</t>
        </is>
      </c>
      <c r="E48" s="5" t="inlineStr">
        <is>
          <t>read</t>
        </is>
      </c>
      <c r="F48" s="12" t="n"/>
      <c r="G48" s="23" t="inlineStr">
        <is>
          <t>See parcel: read off the county assessor's portal by the internal pipeline only.</t>
        </is>
      </c>
    </row>
    <row r="49">
      <c r="A49" s="30" t="inlineStr">
        <is>
          <t>summary.tax_billed_year</t>
        </is>
      </c>
      <c r="B49" s="5" t="inlineStr">
        <is>
          <t>MISSING</t>
        </is>
      </c>
      <c r="C49" s="5" t="inlineStr">
        <is>
          <t>Internal pipeline only</t>
        </is>
      </c>
      <c r="D49" s="5" t="inlineStr">
        <is>
          <t>—</t>
        </is>
      </c>
      <c r="E49" s="5" t="inlineStr">
        <is>
          <t>read</t>
        </is>
      </c>
      <c r="F49" s="12" t="n"/>
      <c r="G49" s="23" t="inlineStr">
        <is>
          <t>See parcel: read off the county assessor's portal by the internal pipeline only.</t>
        </is>
      </c>
    </row>
    <row r="50">
      <c r="A50" s="30" t="inlineStr">
        <is>
          <t>summary.tax_divisor</t>
        </is>
      </c>
      <c r="B50" s="5" t="inlineStr">
        <is>
          <t>100</t>
        </is>
      </c>
      <c r="C50" s="5" t="inlineStr">
        <is>
          <t>Vendored county rate table</t>
        </is>
      </c>
      <c r="D50" s="5" t="inlineStr">
        <is>
          <t>property_tax_table.STATE_RULES['AZ']</t>
        </is>
      </c>
      <c r="E50" s="5" t="inlineStr">
        <is>
          <t>read</t>
        </is>
      </c>
      <c r="F50" s="12" t="n"/>
      <c r="G50" s="23" t="inlineStr">
        <is>
          <t>The rate's unit in Arizona: per $100 of assessed value.</t>
        </is>
      </c>
    </row>
    <row r="51">
      <c r="A51" s="30" t="inlineStr">
        <is>
          <t>summary.tax_exemption</t>
        </is>
      </c>
      <c r="B51" s="5" t="inlineStr">
        <is>
          <t>MISSING</t>
        </is>
      </c>
      <c r="C51" s="5" t="inlineStr">
        <is>
          <t>Internal pipeline only</t>
        </is>
      </c>
      <c r="D51" s="5" t="inlineStr">
        <is>
          <t>—</t>
        </is>
      </c>
      <c r="E51" s="5" t="inlineStr">
        <is>
          <t>read</t>
        </is>
      </c>
      <c r="F51" s="12" t="n"/>
      <c r="G51" s="23" t="inlineStr">
        <is>
          <t>See parcel: read off the county assessor's portal by the internal pipeline only.</t>
        </is>
      </c>
    </row>
    <row r="52">
      <c r="A52" s="30" t="inlineStr">
        <is>
          <t>summary.tax_parcel_id</t>
        </is>
      </c>
      <c r="B52" s="5" t="inlineStr">
        <is>
          <t>MISSING</t>
        </is>
      </c>
      <c r="C52" s="5" t="inlineStr">
        <is>
          <t>Internal pipeline only</t>
        </is>
      </c>
      <c r="D52" s="5" t="inlineStr">
        <is>
          <t>—</t>
        </is>
      </c>
      <c r="E52" s="5" t="inlineStr">
        <is>
          <t>read</t>
        </is>
      </c>
      <c r="F52" s="12" t="n"/>
      <c r="G52" s="23" t="inlineStr">
        <is>
          <t>The internal pipeline reads the parcel, tax district, assessed value, exemption and billed amount off the county assessor's portal; the demo shows the county's published rate only.</t>
        </is>
      </c>
    </row>
    <row r="53">
      <c r="A53" s="30" t="inlineStr">
        <is>
          <t>summary.tax_per_unit_flag</t>
        </is>
      </c>
      <c r="B53" s="5" t="inlineStr">
        <is>
          <t>OUTSIDE the band (the statement's line per unit): $4,441 per unit a year is outside the…</t>
        </is>
      </c>
      <c r="C53" s="5" t="inlineStr">
        <is>
          <t>Vendored county rate table</t>
        </is>
      </c>
      <c r="D53" s="5" t="inlineStr">
        <is>
          <t>property_tax_table.band_check</t>
        </is>
      </c>
      <c r="E53" s="5" t="inlineStr">
        <is>
          <t>derived</t>
        </is>
      </c>
      <c r="F53" s="5" t="inlineStr">
        <is>
          <t>summary.tax_statement_amount, summary.units_total, summary.state</t>
        </is>
      </c>
      <c r="G53" s="23" t="inlineStr">
        <is>
          <t>A sanity check against the state's typical per-unit range. It flags; it never changes a figure.</t>
        </is>
      </c>
    </row>
    <row r="54">
      <c r="A54" s="30" t="inlineStr">
        <is>
          <t>summary.tax_rate_as_billed</t>
        </is>
      </c>
      <c r="B54" s="5" t="inlineStr">
        <is>
          <t>10.26</t>
        </is>
      </c>
      <c r="C54" s="5" t="inlineStr">
        <is>
          <t>Vendored county rate table</t>
        </is>
      </c>
      <c r="D54" s="5" t="inlineStr">
        <is>
          <t>property_tax_table.COUNTY_RATES[('AZ', 'maricopa')]</t>
        </is>
      </c>
      <c r="E54" s="5" t="inlineStr">
        <is>
          <t>read</t>
        </is>
      </c>
      <c r="F54" s="12" t="n"/>
      <c r="G54" s="23" t="inlineStr">
        <is>
          <t>Tax area code 971300 — City of Phoenix / Deer Valley Unified School District #97, tax year 2025. Maricopa County, '2025 Tax Rates, Maricopa County, Arizona' (the treasurer's rate table by tax area code), row 971300: primary 6.7007, approx residential primary 5.1401, secondary 3.5566. Verified 2026-09-04.</t>
        </is>
      </c>
    </row>
    <row r="55">
      <c r="A55" s="30" t="inlineStr">
        <is>
          <t>summary.tax_rate_evidence</t>
        </is>
      </c>
      <c r="B55" s="5" t="inlineStr">
        <is>
          <t>Vendored county rate table: 10.2573 per $100 of assessed value, tax year 2025 — Tax are…</t>
        </is>
      </c>
      <c r="C55" s="5" t="inlineStr">
        <is>
          <t>Vendored county rate table</t>
        </is>
      </c>
      <c r="D55" s="5" t="inlineStr">
        <is>
          <t>property_tax_table.evidence_text</t>
        </is>
      </c>
      <c r="E55" s="5" t="inlineStr">
        <is>
          <t>derived</t>
        </is>
      </c>
      <c r="F55" s="5" t="inlineStr">
        <is>
          <t>summary.state, summary.county</t>
        </is>
      </c>
      <c r="G55" s="23" t="inlineStr">
        <is>
          <t>The citation, tax year and jurisdiction stack behind the rate, or the honest note that none is on file.</t>
        </is>
      </c>
    </row>
    <row r="56">
      <c r="A56" s="30" t="inlineStr">
        <is>
          <t>summary.tax_rate_year</t>
        </is>
      </c>
      <c r="B56" s="5" t="inlineStr">
        <is>
          <t>2,025</t>
        </is>
      </c>
      <c r="C56" s="5" t="inlineStr">
        <is>
          <t>Vendored county rate table</t>
        </is>
      </c>
      <c r="D56" s="5" t="inlineStr">
        <is>
          <t>property_tax_table.COUNTY_RATES[('AZ', 'maricopa')]</t>
        </is>
      </c>
      <c r="E56" s="5" t="inlineStr">
        <is>
          <t>read</t>
        </is>
      </c>
      <c r="F56" s="12" t="n"/>
      <c r="G56" s="23" t="inlineStr">
        <is>
          <t>The tax year of the rate on file. A bill from another year is displayed, not tied out.</t>
        </is>
      </c>
    </row>
    <row r="57">
      <c r="A57" s="30" t="inlineStr">
        <is>
          <t>summary.tax_statement_amount</t>
        </is>
      </c>
      <c r="B57" s="5" t="inlineStr">
        <is>
          <t>106,586.4</t>
        </is>
      </c>
      <c r="C57" s="5" t="inlineStr">
        <is>
          <t>Wildflower Crossing T-12.xlsx</t>
        </is>
      </c>
      <c r="D57" s="5" t="inlineStr">
        <is>
          <t>Property Taxes lines</t>
        </is>
      </c>
      <c r="E57" s="5" t="inlineStr">
        <is>
          <t>computed</t>
        </is>
      </c>
      <c r="F57" s="5" t="inlineStr">
        <is>
          <t>t12.rows</t>
        </is>
      </c>
      <c r="G57" s="23" t="inlineStr">
        <is>
          <t>The statement's lines categorised as Property Taxes, summed over its twelve months. As billed in the statement, not the county's bill.</t>
        </is>
      </c>
    </row>
    <row r="58">
      <c r="A58" s="30" t="inlineStr">
        <is>
          <t>summary.units_total</t>
        </is>
      </c>
      <c r="B58" s="5" t="inlineStr">
        <is>
          <t>24</t>
        </is>
      </c>
      <c r="C58" s="5" t="inlineStr">
        <is>
          <t>Wildflower Crossing Rent Roll.xlsx</t>
        </is>
      </c>
      <c r="D58" s="5" t="inlineStr">
        <is>
          <t>—</t>
        </is>
      </c>
      <c r="E58" s="5" t="inlineStr">
        <is>
          <t>derived</t>
        </is>
      </c>
      <c r="F58" s="5" t="inlineStr">
        <is>
          <t>rent_roll.units</t>
        </is>
      </c>
      <c r="G58" s="23" t="inlineStr">
        <is>
          <t>Counted from the rows of the uploaded rent roll.</t>
        </is>
      </c>
    </row>
    <row r="59">
      <c r="A59" s="30" t="inlineStr">
        <is>
          <t>summary.year_built</t>
        </is>
      </c>
      <c r="B59" s="5" t="inlineStr">
        <is>
          <t>2,021</t>
        </is>
      </c>
      <c r="C59" s="5" t="inlineStr">
        <is>
          <t>Wildflower Crossing Offering Memorandum.pdf</t>
        </is>
      </c>
      <c r="D59" s="5" t="inlineStr">
        <is>
          <t>p.1</t>
        </is>
      </c>
      <c r="E59" s="5" t="inlineStr">
        <is>
          <t>read</t>
        </is>
      </c>
      <c r="F59" s="12" t="n"/>
      <c r="G59" s="23" t="inlineStr">
        <is>
          <t>munity in a market that does not exist.
Year built: 2021.  Occupancy: 93.8%.  Asking price: $7,4</t>
        </is>
      </c>
    </row>
    <row r="60">
      <c r="A60" s="30" t="inlineStr">
        <is>
          <t>summary.zip</t>
        </is>
      </c>
      <c r="B60" s="5" t="inlineStr">
        <is>
          <t>85204</t>
        </is>
      </c>
      <c r="C60" s="5" t="inlineStr">
        <is>
          <t>Wildflower Crossing Offering Memorandum.pdf</t>
        </is>
      </c>
      <c r="D60" s="5" t="inlineStr">
        <is>
          <t>p.1</t>
        </is>
      </c>
      <c r="E60" s="5" t="inlineStr">
        <is>
          <t>read</t>
        </is>
      </c>
      <c r="F60" s="12" t="n"/>
      <c r="G60" s="23" t="inlineStr">
        <is>
          <t>ry figure below is made up for testing.
Address: 100 Example Way, Mesa, Maricopa County, AZ 85204 (an invented address).
Executive Summar</t>
        </is>
      </c>
    </row>
    <row r="61">
      <c r="A61" s="30" t="inlineStr">
        <is>
          <t>supply.rings</t>
        </is>
      </c>
      <c r="B61" s="5" t="inlineStr">
        <is>
          <t>0 entries</t>
        </is>
      </c>
      <c r="C61" s="5" t="inlineStr">
        <is>
          <t>Not run in the upload demo</t>
        </is>
      </c>
      <c r="D61" s="5" t="inlineStr">
        <is>
          <t>—</t>
        </is>
      </c>
      <c r="E61" s="5" t="inlineStr">
        <is>
          <t>read</t>
        </is>
      </c>
      <c r="F61" s="12" t="n"/>
      <c r="G61" s="23" t="inlineStr">
        <is>
          <t>Not run in the upload demo. This section needs data sources the demo does not reach, so it is left empty rather than filled with placeholders.</t>
        </is>
      </c>
    </row>
    <row r="62">
      <c r="A62" s="30" t="inlineStr">
        <is>
          <t>t12.month_labels</t>
        </is>
      </c>
      <c r="B62" s="5" t="inlineStr">
        <is>
          <t>12 entries</t>
        </is>
      </c>
      <c r="C62" s="5" t="inlineStr">
        <is>
          <t>Wildflower Crossing T-12.xlsx</t>
        </is>
      </c>
      <c r="D62" s="5" t="inlineStr">
        <is>
          <t>statement</t>
        </is>
      </c>
      <c r="E62" s="5" t="inlineStr">
        <is>
          <t>read</t>
        </is>
      </c>
      <c r="F62" s="12" t="n"/>
      <c r="G62" s="23" t="inlineStr">
        <is>
          <t>Read from the uploaded statement.</t>
        </is>
      </c>
    </row>
    <row r="63">
      <c r="A63" s="30" t="inlineStr">
        <is>
          <t>t12.source_subtotals</t>
        </is>
      </c>
      <c r="B63" s="5" t="inlineStr">
        <is>
          <t>3 keys</t>
        </is>
      </c>
      <c r="C63" s="5" t="inlineStr">
        <is>
          <t>Wildflower Crossing T-12.xlsx</t>
        </is>
      </c>
      <c r="D63" s="5" t="inlineStr">
        <is>
          <t>header block</t>
        </is>
      </c>
      <c r="E63" s="5" t="inlineStr">
        <is>
          <t>read</t>
        </is>
      </c>
      <c r="F63" s="12" t="n"/>
      <c r="G63" s="31" t="n"/>
    </row>
    <row r="64">
      <c r="A64" s="30" t="inlineStr">
        <is>
          <t>t12.units</t>
        </is>
      </c>
      <c r="B64" s="5" t="inlineStr">
        <is>
          <t>24</t>
        </is>
      </c>
      <c r="C64" s="5" t="inlineStr">
        <is>
          <t>Wildflower Crossing T-12.xlsx</t>
        </is>
      </c>
      <c r="D64" s="5" t="inlineStr">
        <is>
          <t>statement</t>
        </is>
      </c>
      <c r="E64" s="5" t="inlineStr">
        <is>
          <t>read</t>
        </is>
      </c>
      <c r="F64" s="12" t="n"/>
      <c r="G64" s="23" t="inlineStr">
        <is>
          <t>Read from the uploaded statement.</t>
        </is>
      </c>
    </row>
    <row r="65">
      <c r="A65" s="30" t="inlineStr">
        <is>
          <t>trade_out.rows</t>
        </is>
      </c>
      <c r="B65" s="5" t="inlineStr">
        <is>
          <t>0 entries</t>
        </is>
      </c>
      <c r="C65" s="5" t="inlineStr">
        <is>
          <t>Not asked for by the upload demo</t>
        </is>
      </c>
      <c r="D65" s="5" t="inlineStr">
        <is>
          <t>—</t>
        </is>
      </c>
      <c r="E65" s="5" t="inlineStr">
        <is>
          <t>read</t>
        </is>
      </c>
      <c r="F65" s="12" t="n"/>
      <c r="G65" s="23" t="inlineStr">
        <is>
          <t>The upload demo does not ask for a lease trade-out report, so there is no basis for a new-versus-renewal block.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AI Underwriting Pipeline</dc:creator>
  <dcterms:created xsi:type="dcterms:W3CDTF">2026-10-21T00:00:00Z</dcterms:created>
  <dcterms:modified xsi:type="dcterms:W3CDTF">2026-10-21T00:00:00Z</dcterms:modified>
  <cp:lastModifiedBy>AI Underwriting Pipeline</cp:lastModifiedBy>
</cp:coreProperties>
</file>