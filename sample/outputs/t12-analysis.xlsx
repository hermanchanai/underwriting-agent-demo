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-12 Data" sheetId="1" state="visible" r:id="rId1"/>
    <sheet name="P&amp;L Summary" sheetId="2" state="visible" r:id="rId2"/>
    <sheet name="Checks &amp; Pricing" sheetId="3" state="visible" r:id="rId3"/>
    <sheet name="Audit 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/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595959"/>
      </patternFill>
    </fill>
  </fills>
  <borders count="3">
    <border>
      <left/>
      <right/>
      <top/>
      <bottom/>
      <diagonal/>
    </border>
    <border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vertical="top" wrapText="1"/>
    </xf>
    <xf numFmtId="49" fontId="4" fillId="0" borderId="0" pivotButton="0" quotePrefix="0" xfId="0"/>
    <xf numFmtId="3" fontId="4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0" fontId="6" fillId="4" borderId="0" pivotButton="0" quotePrefix="0" xfId="0"/>
    <xf numFmtId="49" fontId="3" fillId="3" borderId="0" pivotButton="0" quotePrefix="0" xfId="0"/>
    <xf numFmtId="0" fontId="4" fillId="0" borderId="0" pivotButton="0" quotePrefix="0" xfId="0"/>
    <xf numFmtId="49" fontId="4" fillId="0" borderId="0" applyAlignment="1" pivotButton="0" quotePrefix="0" xfId="0">
      <alignment vertical="top" wrapText="1"/>
    </xf>
    <xf numFmtId="164" fontId="4" fillId="0" borderId="0" pivotButton="0" quotePrefix="0" xfId="0"/>
    <xf numFmtId="49" fontId="3" fillId="0" borderId="0" pivotButton="0" quotePrefix="0" xfId="0"/>
    <xf numFmtId="0" fontId="2" fillId="0" borderId="0" applyAlignment="1" pivotButton="0" quotePrefix="0" xfId="0">
      <alignment vertical="top" wrapText="1"/>
    </xf>
    <xf numFmtId="10" fontId="4" fillId="0" borderId="0" pivotButton="0" quotePrefix="0" xfId="0"/>
    <xf numFmtId="49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T-12 data</t>
        </is>
      </c>
    </row>
    <row r="2">
      <c r="A2" s="2" t="inlineStr">
        <is>
          <t>Wildflower Crossing — as of 2025-11-12</t>
        </is>
      </c>
    </row>
    <row r="3">
      <c r="A3" s="2" t="inlineStr">
        <is>
          <t>Months run oldest-first, detected from the labels rather than assumed — the trailing-three window depends on it.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Line item</t>
        </is>
      </c>
      <c r="B5" s="4" t="inlineStr">
        <is>
          <t>Category</t>
        </is>
      </c>
      <c r="C5" s="4" t="inlineStr">
        <is>
          <t>2025-07</t>
        </is>
      </c>
      <c r="D5" s="4" t="inlineStr">
        <is>
          <t>2025-08</t>
        </is>
      </c>
      <c r="E5" s="4" t="inlineStr">
        <is>
          <t>2025-09</t>
        </is>
      </c>
      <c r="F5" s="4" t="inlineStr">
        <is>
          <t>2025-10</t>
        </is>
      </c>
      <c r="G5" s="4" t="inlineStr">
        <is>
          <t>2025-11</t>
        </is>
      </c>
      <c r="H5" s="4" t="inlineStr">
        <is>
          <t>2025-12</t>
        </is>
      </c>
      <c r="I5" s="4" t="inlineStr">
        <is>
          <t>2026-01</t>
        </is>
      </c>
      <c r="J5" s="4" t="inlineStr">
        <is>
          <t>2026-02</t>
        </is>
      </c>
      <c r="K5" s="4" t="inlineStr">
        <is>
          <t>2026-03</t>
        </is>
      </c>
      <c r="L5" s="4" t="inlineStr">
        <is>
          <t>2026-04</t>
        </is>
      </c>
      <c r="M5" s="4" t="inlineStr">
        <is>
          <t>2026-05</t>
        </is>
      </c>
      <c r="N5" s="4" t="inlineStr">
        <is>
          <t>2026-06</t>
        </is>
      </c>
      <c r="O5" s="4" t="inlineStr">
        <is>
          <t>T-12 total</t>
        </is>
      </c>
      <c r="P5" s="4" t="inlineStr">
        <is>
          <t>T-3 total</t>
        </is>
      </c>
    </row>
    <row r="6">
      <c r="A6" s="5" t="inlineStr">
        <is>
          <t>Gross Potential Rent (4010)</t>
        </is>
      </c>
      <c r="B6" s="5" t="inlineStr">
        <is>
          <t>Gross Potential Rent</t>
        </is>
      </c>
      <c r="C6" s="6" t="n">
        <v>60512</v>
      </c>
      <c r="D6" s="6" t="n">
        <v>60760</v>
      </c>
      <c r="E6" s="6" t="n">
        <v>61008</v>
      </c>
      <c r="F6" s="6" t="n">
        <v>61256</v>
      </c>
      <c r="G6" s="6" t="n">
        <v>61504</v>
      </c>
      <c r="H6" s="6" t="n">
        <v>61752</v>
      </c>
      <c r="I6" s="6" t="n">
        <v>62000</v>
      </c>
      <c r="J6" s="6" t="n">
        <v>62248</v>
      </c>
      <c r="K6" s="6" t="n">
        <v>62496</v>
      </c>
      <c r="L6" s="6" t="n">
        <v>62744</v>
      </c>
      <c r="M6" s="6" t="n">
        <v>62992</v>
      </c>
      <c r="N6" s="6" t="n">
        <v>63240</v>
      </c>
      <c r="O6" s="6">
        <f>SUM(C6:N6)</f>
        <v/>
      </c>
      <c r="P6" s="6">
        <f>SUM(L6:N6)</f>
        <v/>
      </c>
    </row>
    <row r="7">
      <c r="A7" s="5" t="inlineStr">
        <is>
          <t>Gain / (Loss) to Lease (4020)</t>
        </is>
      </c>
      <c r="B7" s="5" t="inlineStr">
        <is>
          <t>Gain / (Loss) to Lease</t>
        </is>
      </c>
      <c r="C7" s="6" t="n">
        <v>-2049.6</v>
      </c>
      <c r="D7" s="6" t="n">
        <v>-2058</v>
      </c>
      <c r="E7" s="6" t="n">
        <v>-2066.4</v>
      </c>
      <c r="F7" s="6" t="n">
        <v>-2074.8</v>
      </c>
      <c r="G7" s="6" t="n">
        <v>-2083.2</v>
      </c>
      <c r="H7" s="6" t="n">
        <v>-2091.6</v>
      </c>
      <c r="I7" s="6" t="n">
        <v>-2100</v>
      </c>
      <c r="J7" s="6" t="n">
        <v>-2108.4</v>
      </c>
      <c r="K7" s="6" t="n">
        <v>-2116.8</v>
      </c>
      <c r="L7" s="6" t="n">
        <v>-2125.2</v>
      </c>
      <c r="M7" s="6" t="n">
        <v>-2133.6</v>
      </c>
      <c r="N7" s="6" t="n">
        <v>-2142</v>
      </c>
      <c r="O7" s="6">
        <f>SUM(C7:N7)</f>
        <v/>
      </c>
      <c r="P7" s="6">
        <f>SUM(L7:N7)</f>
        <v/>
      </c>
    </row>
    <row r="8">
      <c r="A8" s="5" t="inlineStr">
        <is>
          <t>Vacancy (4100)</t>
        </is>
      </c>
      <c r="B8" s="5" t="inlineStr">
        <is>
          <t>Vacancy</t>
        </is>
      </c>
      <c r="C8" s="6" t="n">
        <v>-4196.8</v>
      </c>
      <c r="D8" s="6" t="n">
        <v>-4214</v>
      </c>
      <c r="E8" s="6" t="n">
        <v>-4231.2</v>
      </c>
      <c r="F8" s="6" t="n">
        <v>-4248.4</v>
      </c>
      <c r="G8" s="6" t="n">
        <v>-4265.6</v>
      </c>
      <c r="H8" s="6" t="n">
        <v>-4282.8</v>
      </c>
      <c r="I8" s="6" t="n">
        <v>-4300</v>
      </c>
      <c r="J8" s="6" t="n">
        <v>-4317.2</v>
      </c>
      <c r="K8" s="6" t="n">
        <v>-4334.4</v>
      </c>
      <c r="L8" s="6" t="n">
        <v>-4351.6</v>
      </c>
      <c r="M8" s="6" t="n">
        <v>-4368.8</v>
      </c>
      <c r="N8" s="6" t="n">
        <v>-4386</v>
      </c>
      <c r="O8" s="6">
        <f>SUM(C8:N8)</f>
        <v/>
      </c>
      <c r="P8" s="6">
        <f>SUM(L8:N8)</f>
        <v/>
      </c>
    </row>
    <row r="9">
      <c r="A9" s="5" t="inlineStr">
        <is>
          <t>Concessions (4110)</t>
        </is>
      </c>
      <c r="B9" s="5" t="inlineStr">
        <is>
          <t>Concessions</t>
        </is>
      </c>
      <c r="C9" s="6" t="n">
        <v>-878.4</v>
      </c>
      <c r="D9" s="6" t="n">
        <v>-882</v>
      </c>
      <c r="E9" s="6" t="n">
        <v>-885.6</v>
      </c>
      <c r="F9" s="6" t="n">
        <v>-889.2</v>
      </c>
      <c r="G9" s="6" t="n">
        <v>-892.8</v>
      </c>
      <c r="H9" s="6" t="n">
        <v>-896.4</v>
      </c>
      <c r="I9" s="6" t="n">
        <v>-900</v>
      </c>
      <c r="J9" s="6" t="n">
        <v>-903.6</v>
      </c>
      <c r="K9" s="6" t="n">
        <v>-907.2</v>
      </c>
      <c r="L9" s="6" t="n">
        <v>-910.8</v>
      </c>
      <c r="M9" s="6" t="n">
        <v>-914.4</v>
      </c>
      <c r="N9" s="6" t="n">
        <v>-918</v>
      </c>
      <c r="O9" s="6">
        <f>SUM(C9:N9)</f>
        <v/>
      </c>
      <c r="P9" s="6">
        <f>SUM(L9:N9)</f>
        <v/>
      </c>
    </row>
    <row r="10">
      <c r="A10" s="5" t="inlineStr">
        <is>
          <t>Utility Reimbursement (4200)</t>
        </is>
      </c>
      <c r="B10" s="5" t="inlineStr">
        <is>
          <t>Utility Reimbursements</t>
        </is>
      </c>
      <c r="C10" s="6" t="n">
        <v>3025.6</v>
      </c>
      <c r="D10" s="6" t="n">
        <v>3038</v>
      </c>
      <c r="E10" s="6" t="n">
        <v>3050.4</v>
      </c>
      <c r="F10" s="6" t="n">
        <v>3062.8</v>
      </c>
      <c r="G10" s="6" t="n">
        <v>3075.2</v>
      </c>
      <c r="H10" s="6" t="n">
        <v>3087.6</v>
      </c>
      <c r="I10" s="6" t="n">
        <v>3100</v>
      </c>
      <c r="J10" s="6" t="n">
        <v>3112.4</v>
      </c>
      <c r="K10" s="6" t="n">
        <v>3124.8</v>
      </c>
      <c r="L10" s="6" t="n">
        <v>3137.2</v>
      </c>
      <c r="M10" s="6" t="n">
        <v>3149.6</v>
      </c>
      <c r="N10" s="6" t="n">
        <v>3162</v>
      </c>
      <c r="O10" s="6">
        <f>SUM(C10:N10)</f>
        <v/>
      </c>
      <c r="P10" s="6">
        <f>SUM(L10:N10)</f>
        <v/>
      </c>
    </row>
    <row r="11">
      <c r="A11" s="5" t="inlineStr">
        <is>
          <t>Other Income (4300)</t>
        </is>
      </c>
      <c r="B11" s="5" t="inlineStr">
        <is>
          <t>Other Income</t>
        </is>
      </c>
      <c r="C11" s="6" t="n">
        <v>1708</v>
      </c>
      <c r="D11" s="6" t="n">
        <v>1715</v>
      </c>
      <c r="E11" s="6" t="n">
        <v>1722</v>
      </c>
      <c r="F11" s="6" t="n">
        <v>1729</v>
      </c>
      <c r="G11" s="6" t="n">
        <v>1736</v>
      </c>
      <c r="H11" s="6" t="n">
        <v>1743</v>
      </c>
      <c r="I11" s="6" t="n">
        <v>1750</v>
      </c>
      <c r="J11" s="6" t="n">
        <v>1757</v>
      </c>
      <c r="K11" s="6" t="n">
        <v>1764</v>
      </c>
      <c r="L11" s="6" t="n">
        <v>1771</v>
      </c>
      <c r="M11" s="6" t="n">
        <v>1778</v>
      </c>
      <c r="N11" s="6" t="n">
        <v>1785</v>
      </c>
      <c r="O11" s="6">
        <f>SUM(C11:N11)</f>
        <v/>
      </c>
      <c r="P11" s="6">
        <f>SUM(L11:N11)</f>
        <v/>
      </c>
    </row>
    <row r="12">
      <c r="A12" s="5" t="inlineStr">
        <is>
          <t>Payroll (5010)</t>
        </is>
      </c>
      <c r="B12" s="5" t="inlineStr">
        <is>
          <t>Payroll</t>
        </is>
      </c>
      <c r="C12" s="6" t="n">
        <v>7027.2</v>
      </c>
      <c r="D12" s="6" t="n">
        <v>7056</v>
      </c>
      <c r="E12" s="6" t="n">
        <v>7084.8</v>
      </c>
      <c r="F12" s="6" t="n">
        <v>7113.6</v>
      </c>
      <c r="G12" s="6" t="n">
        <v>7142.4</v>
      </c>
      <c r="H12" s="6" t="n">
        <v>7171.2</v>
      </c>
      <c r="I12" s="6" t="n">
        <v>7200</v>
      </c>
      <c r="J12" s="6" t="n">
        <v>7228.8</v>
      </c>
      <c r="K12" s="6" t="n">
        <v>7257.6</v>
      </c>
      <c r="L12" s="6" t="n">
        <v>7286.4</v>
      </c>
      <c r="M12" s="6" t="n">
        <v>7315.2</v>
      </c>
      <c r="N12" s="6" t="n">
        <v>7344</v>
      </c>
      <c r="O12" s="6">
        <f>SUM(C12:N12)</f>
        <v/>
      </c>
      <c r="P12" s="6">
        <f>SUM(L12:N12)</f>
        <v/>
      </c>
    </row>
    <row r="13">
      <c r="A13" s="5" t="inlineStr">
        <is>
          <t>Repairs &amp; Maintenance (5100)</t>
        </is>
      </c>
      <c r="B13" s="5" t="inlineStr">
        <is>
          <t>Repairs and Maintenance</t>
        </is>
      </c>
      <c r="C13" s="6" t="n">
        <v>4001.6</v>
      </c>
      <c r="D13" s="6" t="n">
        <v>4018</v>
      </c>
      <c r="E13" s="6" t="n">
        <v>4034.4</v>
      </c>
      <c r="F13" s="6" t="n">
        <v>4050.8</v>
      </c>
      <c r="G13" s="6" t="n">
        <v>4067.2</v>
      </c>
      <c r="H13" s="6" t="n">
        <v>4083.6</v>
      </c>
      <c r="I13" s="6" t="n">
        <v>4100</v>
      </c>
      <c r="J13" s="6" t="n">
        <v>4116.4</v>
      </c>
      <c r="K13" s="6" t="n">
        <v>4132.8</v>
      </c>
      <c r="L13" s="6" t="n">
        <v>4149.2</v>
      </c>
      <c r="M13" s="6" t="n">
        <v>4165.6</v>
      </c>
      <c r="N13" s="6" t="n">
        <v>4182</v>
      </c>
      <c r="O13" s="6">
        <f>SUM(C13:N13)</f>
        <v/>
      </c>
      <c r="P13" s="6">
        <f>SUM(L13:N13)</f>
        <v/>
      </c>
    </row>
    <row r="14">
      <c r="A14" s="5" t="inlineStr">
        <is>
          <t>Contract Services (5200)</t>
        </is>
      </c>
      <c r="B14" s="5" t="inlineStr">
        <is>
          <t>Repairs and Maintenance</t>
        </is>
      </c>
      <c r="C14" s="6" t="n">
        <v>2244.8</v>
      </c>
      <c r="D14" s="6" t="n">
        <v>2254</v>
      </c>
      <c r="E14" s="6" t="n">
        <v>2263.2</v>
      </c>
      <c r="F14" s="6" t="n">
        <v>2272.4</v>
      </c>
      <c r="G14" s="6" t="n">
        <v>2281.6</v>
      </c>
      <c r="H14" s="6" t="n">
        <v>2290.8</v>
      </c>
      <c r="I14" s="6" t="n">
        <v>2300</v>
      </c>
      <c r="J14" s="6" t="n">
        <v>2309.2</v>
      </c>
      <c r="K14" s="6" t="n">
        <v>2318.4</v>
      </c>
      <c r="L14" s="6" t="n">
        <v>2327.6</v>
      </c>
      <c r="M14" s="6" t="n">
        <v>2336.8</v>
      </c>
      <c r="N14" s="6" t="n">
        <v>2346</v>
      </c>
      <c r="O14" s="6">
        <f>SUM(C14:N14)</f>
        <v/>
      </c>
      <c r="P14" s="6">
        <f>SUM(L14:N14)</f>
        <v/>
      </c>
    </row>
    <row r="15">
      <c r="A15" s="5" t="inlineStr">
        <is>
          <t>Marketing (5300)</t>
        </is>
      </c>
      <c r="B15" s="5" t="inlineStr">
        <is>
          <t>Leasing and Marketing</t>
        </is>
      </c>
      <c r="C15" s="6" t="n">
        <v>878.4</v>
      </c>
      <c r="D15" s="6" t="n">
        <v>882</v>
      </c>
      <c r="E15" s="6" t="n">
        <v>885.6</v>
      </c>
      <c r="F15" s="6" t="n">
        <v>889.2</v>
      </c>
      <c r="G15" s="6" t="n">
        <v>892.8</v>
      </c>
      <c r="H15" s="6" t="n">
        <v>896.4</v>
      </c>
      <c r="I15" s="6" t="n">
        <v>900</v>
      </c>
      <c r="J15" s="6" t="n">
        <v>903.6</v>
      </c>
      <c r="K15" s="6" t="n">
        <v>907.2</v>
      </c>
      <c r="L15" s="6" t="n">
        <v>910.8</v>
      </c>
      <c r="M15" s="6" t="n">
        <v>914.4</v>
      </c>
      <c r="N15" s="6" t="n">
        <v>918</v>
      </c>
      <c r="O15" s="6">
        <f>SUM(C15:N15)</f>
        <v/>
      </c>
      <c r="P15" s="6">
        <f>SUM(L15:N15)</f>
        <v/>
      </c>
    </row>
    <row r="16">
      <c r="A16" s="5" t="inlineStr">
        <is>
          <t>Administrative (5400)</t>
        </is>
      </c>
      <c r="B16" s="5" t="inlineStr">
        <is>
          <t>General and Administrative</t>
        </is>
      </c>
      <c r="C16" s="6" t="n">
        <v>1366.4</v>
      </c>
      <c r="D16" s="6" t="n">
        <v>1372</v>
      </c>
      <c r="E16" s="6" t="n">
        <v>1377.6</v>
      </c>
      <c r="F16" s="6" t="n">
        <v>1383.2</v>
      </c>
      <c r="G16" s="6" t="n">
        <v>1388.8</v>
      </c>
      <c r="H16" s="6" t="n">
        <v>1394.4</v>
      </c>
      <c r="I16" s="6" t="n">
        <v>1400</v>
      </c>
      <c r="J16" s="6" t="n">
        <v>1405.6</v>
      </c>
      <c r="K16" s="6" t="n">
        <v>1411.2</v>
      </c>
      <c r="L16" s="6" t="n">
        <v>1416.8</v>
      </c>
      <c r="M16" s="6" t="n">
        <v>1422.4</v>
      </c>
      <c r="N16" s="6" t="n">
        <v>1428</v>
      </c>
      <c r="O16" s="6">
        <f>SUM(C16:N16)</f>
        <v/>
      </c>
      <c r="P16" s="6">
        <f>SUM(L16:N16)</f>
        <v/>
      </c>
    </row>
    <row r="17">
      <c r="A17" s="5" t="inlineStr">
        <is>
          <t>Utilities (5500)</t>
        </is>
      </c>
      <c r="B17" s="5" t="inlineStr">
        <is>
          <t>Utilities</t>
        </is>
      </c>
      <c r="C17" s="6" t="n">
        <v>3513.6</v>
      </c>
      <c r="D17" s="6" t="n">
        <v>3528</v>
      </c>
      <c r="E17" s="6" t="n">
        <v>3542.4</v>
      </c>
      <c r="F17" s="6" t="n">
        <v>3556.8</v>
      </c>
      <c r="G17" s="6" t="n">
        <v>3571.2</v>
      </c>
      <c r="H17" s="6" t="n">
        <v>3585.6</v>
      </c>
      <c r="I17" s="6" t="n">
        <v>3600</v>
      </c>
      <c r="J17" s="6" t="n">
        <v>3614.4</v>
      </c>
      <c r="K17" s="6" t="n">
        <v>3628.8</v>
      </c>
      <c r="L17" s="6" t="n">
        <v>3643.2</v>
      </c>
      <c r="M17" s="6" t="n">
        <v>3657.6</v>
      </c>
      <c r="N17" s="6" t="n">
        <v>3672</v>
      </c>
      <c r="O17" s="6">
        <f>SUM(C17:N17)</f>
        <v/>
      </c>
      <c r="P17" s="6">
        <f>SUM(L17:N17)</f>
        <v/>
      </c>
    </row>
    <row r="18">
      <c r="A18" s="5" t="inlineStr">
        <is>
          <t>Management Fee (5600)</t>
        </is>
      </c>
      <c r="B18" s="5" t="inlineStr">
        <is>
          <t>Management Fee</t>
        </is>
      </c>
      <c r="C18" s="6" t="n">
        <v>1737.28</v>
      </c>
      <c r="D18" s="6" t="n">
        <v>1744.4</v>
      </c>
      <c r="E18" s="6" t="n">
        <v>1751.52</v>
      </c>
      <c r="F18" s="6" t="n">
        <v>1758.64</v>
      </c>
      <c r="G18" s="6" t="n">
        <v>1765.76</v>
      </c>
      <c r="H18" s="6" t="n">
        <v>1772.88</v>
      </c>
      <c r="I18" s="6" t="n">
        <v>1780</v>
      </c>
      <c r="J18" s="6" t="n">
        <v>1787.12</v>
      </c>
      <c r="K18" s="6" t="n">
        <v>1794.24</v>
      </c>
      <c r="L18" s="6" t="n">
        <v>1801.36</v>
      </c>
      <c r="M18" s="6" t="n">
        <v>1808.48</v>
      </c>
      <c r="N18" s="6" t="n">
        <v>1815.6</v>
      </c>
      <c r="O18" s="6">
        <f>SUM(C18:N18)</f>
        <v/>
      </c>
      <c r="P18" s="6">
        <f>SUM(L18:N18)</f>
        <v/>
      </c>
    </row>
    <row r="19">
      <c r="A19" s="5" t="inlineStr">
        <is>
          <t>Insurance (5700)</t>
        </is>
      </c>
      <c r="B19" s="5" t="inlineStr">
        <is>
          <t>Insurance</t>
        </is>
      </c>
      <c r="C19" s="6" t="n">
        <v>2537.6</v>
      </c>
      <c r="D19" s="6" t="n">
        <v>2548</v>
      </c>
      <c r="E19" s="6" t="n">
        <v>2558.4</v>
      </c>
      <c r="F19" s="6" t="n">
        <v>2568.8</v>
      </c>
      <c r="G19" s="6" t="n">
        <v>2579.2</v>
      </c>
      <c r="H19" s="6" t="n">
        <v>2589.6</v>
      </c>
      <c r="I19" s="6" t="n">
        <v>2600</v>
      </c>
      <c r="J19" s="6" t="n">
        <v>2610.4</v>
      </c>
      <c r="K19" s="6" t="n">
        <v>2620.8</v>
      </c>
      <c r="L19" s="6" t="n">
        <v>2631.2</v>
      </c>
      <c r="M19" s="6" t="n">
        <v>2641.6</v>
      </c>
      <c r="N19" s="6" t="n">
        <v>2652</v>
      </c>
      <c r="O19" s="6">
        <f>SUM(C19:N19)</f>
        <v/>
      </c>
      <c r="P19" s="6">
        <f>SUM(L19:N19)</f>
        <v/>
      </c>
    </row>
    <row r="20">
      <c r="A20" s="5" t="inlineStr">
        <is>
          <t>Real Estate Taxes (5800)</t>
        </is>
      </c>
      <c r="B20" s="5" t="inlineStr">
        <is>
          <t>Property Taxes</t>
        </is>
      </c>
      <c r="C20" s="6" t="n">
        <v>8686.4</v>
      </c>
      <c r="D20" s="6" t="n">
        <v>8722</v>
      </c>
      <c r="E20" s="6" t="n">
        <v>8757.6</v>
      </c>
      <c r="F20" s="6" t="n">
        <v>8793.200000000001</v>
      </c>
      <c r="G20" s="6" t="n">
        <v>8828.799999999999</v>
      </c>
      <c r="H20" s="6" t="n">
        <v>8864.4</v>
      </c>
      <c r="I20" s="6" t="n">
        <v>8900</v>
      </c>
      <c r="J20" s="6" t="n">
        <v>8935.6</v>
      </c>
      <c r="K20" s="6" t="n">
        <v>8971.200000000001</v>
      </c>
      <c r="L20" s="6" t="n">
        <v>9006.799999999999</v>
      </c>
      <c r="M20" s="6" t="n">
        <v>9042.4</v>
      </c>
      <c r="N20" s="6" t="n">
        <v>9078</v>
      </c>
      <c r="O20" s="6">
        <f>SUM(C20:N20)</f>
        <v/>
      </c>
      <c r="P20" s="6">
        <f>SUM(L20:N20)</f>
        <v/>
      </c>
    </row>
    <row r="22">
      <c r="A22" s="7" t="inlineStr">
        <is>
          <t>Monthly revenue (computed)</t>
        </is>
      </c>
      <c r="B22" s="2" t="inlineStr">
        <is>
          <t>derived</t>
        </is>
      </c>
      <c r="C22" s="8">
        <f>IF(COUNTIF($B$6:$B$20,"Gross Scheduled Rent")&gt;0,SUMIF($B$6:$B$20,"Gross Scheduled Rent",C$6:C$20),SUMIF($B$6:$B$20,"Gross Potential Rent",C$6:C$20)+SUMIF($B$6:$B$20,"Gain / (Loss) to Lease",C$6:C$20))+SUMIF($B$6:$B$20,"Vacancy",C$6:C$20)+SUMIF($B$6:$B$20,"Concessions",C$6:C$20)+SUMIF($B$6:$B$20,"Non-Revenue Units",C$6:C$20)+SUMIF($B$6:$B$20,"Delinquency",C$6:C$20)+SUMIF($B$6:$B$20,"Utility Reimbursements",C$6:C$20)+SUMIF($B$6:$B$20,"Other Income",C$6:C$20)+SUMIF($B$6:$B$20,"Revenue Adjustments",C$6:C$20)</f>
        <v/>
      </c>
      <c r="D22" s="8">
        <f>IF(COUNTIF($B$6:$B$20,"Gross Scheduled Rent")&gt;0,SUMIF($B$6:$B$20,"Gross Scheduled Rent",D$6:D$20),SUMIF($B$6:$B$20,"Gross Potential Rent",D$6:D$20)+SUMIF($B$6:$B$20,"Gain / (Loss) to Lease",D$6:D$20))+SUMIF($B$6:$B$20,"Vacancy",D$6:D$20)+SUMIF($B$6:$B$20,"Concessions",D$6:D$20)+SUMIF($B$6:$B$20,"Non-Revenue Units",D$6:D$20)+SUMIF($B$6:$B$20,"Delinquency",D$6:D$20)+SUMIF($B$6:$B$20,"Utility Reimbursements",D$6:D$20)+SUMIF($B$6:$B$20,"Other Income",D$6:D$20)+SUMIF($B$6:$B$20,"Revenue Adjustments",D$6:D$20)</f>
        <v/>
      </c>
      <c r="E22" s="8">
        <f>IF(COUNTIF($B$6:$B$20,"Gross Scheduled Rent")&gt;0,SUMIF($B$6:$B$20,"Gross Scheduled Rent",E$6:E$20),SUMIF($B$6:$B$20,"Gross Potential Rent",E$6:E$20)+SUMIF($B$6:$B$20,"Gain / (Loss) to Lease",E$6:E$20))+SUMIF($B$6:$B$20,"Vacancy",E$6:E$20)+SUMIF($B$6:$B$20,"Concessions",E$6:E$20)+SUMIF($B$6:$B$20,"Non-Revenue Units",E$6:E$20)+SUMIF($B$6:$B$20,"Delinquency",E$6:E$20)+SUMIF($B$6:$B$20,"Utility Reimbursements",E$6:E$20)+SUMIF($B$6:$B$20,"Other Income",E$6:E$20)+SUMIF($B$6:$B$20,"Revenue Adjustments",E$6:E$20)</f>
        <v/>
      </c>
      <c r="F22" s="8">
        <f>IF(COUNTIF($B$6:$B$20,"Gross Scheduled Rent")&gt;0,SUMIF($B$6:$B$20,"Gross Scheduled Rent",F$6:F$20),SUMIF($B$6:$B$20,"Gross Potential Rent",F$6:F$20)+SUMIF($B$6:$B$20,"Gain / (Loss) to Lease",F$6:F$20))+SUMIF($B$6:$B$20,"Vacancy",F$6:F$20)+SUMIF($B$6:$B$20,"Concessions",F$6:F$20)+SUMIF($B$6:$B$20,"Non-Revenue Units",F$6:F$20)+SUMIF($B$6:$B$20,"Delinquency",F$6:F$20)+SUMIF($B$6:$B$20,"Utility Reimbursements",F$6:F$20)+SUMIF($B$6:$B$20,"Other Income",F$6:F$20)+SUMIF($B$6:$B$20,"Revenue Adjustments",F$6:F$20)</f>
        <v/>
      </c>
      <c r="G22" s="8">
        <f>IF(COUNTIF($B$6:$B$20,"Gross Scheduled Rent")&gt;0,SUMIF($B$6:$B$20,"Gross Scheduled Rent",G$6:G$20),SUMIF($B$6:$B$20,"Gross Potential Rent",G$6:G$20)+SUMIF($B$6:$B$20,"Gain / (Loss) to Lease",G$6:G$20))+SUMIF($B$6:$B$20,"Vacancy",G$6:G$20)+SUMIF($B$6:$B$20,"Concessions",G$6:G$20)+SUMIF($B$6:$B$20,"Non-Revenue Units",G$6:G$20)+SUMIF($B$6:$B$20,"Delinquency",G$6:G$20)+SUMIF($B$6:$B$20,"Utility Reimbursements",G$6:G$20)+SUMIF($B$6:$B$20,"Other Income",G$6:G$20)+SUMIF($B$6:$B$20,"Revenue Adjustments",G$6:G$20)</f>
        <v/>
      </c>
      <c r="H22" s="8">
        <f>IF(COUNTIF($B$6:$B$20,"Gross Scheduled Rent")&gt;0,SUMIF($B$6:$B$20,"Gross Scheduled Rent",H$6:H$20),SUMIF($B$6:$B$20,"Gross Potential Rent",H$6:H$20)+SUMIF($B$6:$B$20,"Gain / (Loss) to Lease",H$6:H$20))+SUMIF($B$6:$B$20,"Vacancy",H$6:H$20)+SUMIF($B$6:$B$20,"Concessions",H$6:H$20)+SUMIF($B$6:$B$20,"Non-Revenue Units",H$6:H$20)+SUMIF($B$6:$B$20,"Delinquency",H$6:H$20)+SUMIF($B$6:$B$20,"Utility Reimbursements",H$6:H$20)+SUMIF($B$6:$B$20,"Other Income",H$6:H$20)+SUMIF($B$6:$B$20,"Revenue Adjustments",H$6:H$20)</f>
        <v/>
      </c>
      <c r="I22" s="8">
        <f>IF(COUNTIF($B$6:$B$20,"Gross Scheduled Rent")&gt;0,SUMIF($B$6:$B$20,"Gross Scheduled Rent",I$6:I$20),SUMIF($B$6:$B$20,"Gross Potential Rent",I$6:I$20)+SUMIF($B$6:$B$20,"Gain / (Loss) to Lease",I$6:I$20))+SUMIF($B$6:$B$20,"Vacancy",I$6:I$20)+SUMIF($B$6:$B$20,"Concessions",I$6:I$20)+SUMIF($B$6:$B$20,"Non-Revenue Units",I$6:I$20)+SUMIF($B$6:$B$20,"Delinquency",I$6:I$20)+SUMIF($B$6:$B$20,"Utility Reimbursements",I$6:I$20)+SUMIF($B$6:$B$20,"Other Income",I$6:I$20)+SUMIF($B$6:$B$20,"Revenue Adjustments",I$6:I$20)</f>
        <v/>
      </c>
      <c r="J22" s="8">
        <f>IF(COUNTIF($B$6:$B$20,"Gross Scheduled Rent")&gt;0,SUMIF($B$6:$B$20,"Gross Scheduled Rent",J$6:J$20),SUMIF($B$6:$B$20,"Gross Potential Rent",J$6:J$20)+SUMIF($B$6:$B$20,"Gain / (Loss) to Lease",J$6:J$20))+SUMIF($B$6:$B$20,"Vacancy",J$6:J$20)+SUMIF($B$6:$B$20,"Concessions",J$6:J$20)+SUMIF($B$6:$B$20,"Non-Revenue Units",J$6:J$20)+SUMIF($B$6:$B$20,"Delinquency",J$6:J$20)+SUMIF($B$6:$B$20,"Utility Reimbursements",J$6:J$20)+SUMIF($B$6:$B$20,"Other Income",J$6:J$20)+SUMIF($B$6:$B$20,"Revenue Adjustments",J$6:J$20)</f>
        <v/>
      </c>
      <c r="K22" s="8">
        <f>IF(COUNTIF($B$6:$B$20,"Gross Scheduled Rent")&gt;0,SUMIF($B$6:$B$20,"Gross Scheduled Rent",K$6:K$20),SUMIF($B$6:$B$20,"Gross Potential Rent",K$6:K$20)+SUMIF($B$6:$B$20,"Gain / (Loss) to Lease",K$6:K$20))+SUMIF($B$6:$B$20,"Vacancy",K$6:K$20)+SUMIF($B$6:$B$20,"Concessions",K$6:K$20)+SUMIF($B$6:$B$20,"Non-Revenue Units",K$6:K$20)+SUMIF($B$6:$B$20,"Delinquency",K$6:K$20)+SUMIF($B$6:$B$20,"Utility Reimbursements",K$6:K$20)+SUMIF($B$6:$B$20,"Other Income",K$6:K$20)+SUMIF($B$6:$B$20,"Revenue Adjustments",K$6:K$20)</f>
        <v/>
      </c>
      <c r="L22" s="8">
        <f>IF(COUNTIF($B$6:$B$20,"Gross Scheduled Rent")&gt;0,SUMIF($B$6:$B$20,"Gross Scheduled Rent",L$6:L$20),SUMIF($B$6:$B$20,"Gross Potential Rent",L$6:L$20)+SUMIF($B$6:$B$20,"Gain / (Loss) to Lease",L$6:L$20))+SUMIF($B$6:$B$20,"Vacancy",L$6:L$20)+SUMIF($B$6:$B$20,"Concessions",L$6:L$20)+SUMIF($B$6:$B$20,"Non-Revenue Units",L$6:L$20)+SUMIF($B$6:$B$20,"Delinquency",L$6:L$20)+SUMIF($B$6:$B$20,"Utility Reimbursements",L$6:L$20)+SUMIF($B$6:$B$20,"Other Income",L$6:L$20)+SUMIF($B$6:$B$20,"Revenue Adjustments",L$6:L$20)</f>
        <v/>
      </c>
      <c r="M22" s="8">
        <f>IF(COUNTIF($B$6:$B$20,"Gross Scheduled Rent")&gt;0,SUMIF($B$6:$B$20,"Gross Scheduled Rent",M$6:M$20),SUMIF($B$6:$B$20,"Gross Potential Rent",M$6:M$20)+SUMIF($B$6:$B$20,"Gain / (Loss) to Lease",M$6:M$20))+SUMIF($B$6:$B$20,"Vacancy",M$6:M$20)+SUMIF($B$6:$B$20,"Concessions",M$6:M$20)+SUMIF($B$6:$B$20,"Non-Revenue Units",M$6:M$20)+SUMIF($B$6:$B$20,"Delinquency",M$6:M$20)+SUMIF($B$6:$B$20,"Utility Reimbursements",M$6:M$20)+SUMIF($B$6:$B$20,"Other Income",M$6:M$20)+SUMIF($B$6:$B$20,"Revenue Adjustments",M$6:M$20)</f>
        <v/>
      </c>
      <c r="N22" s="8">
        <f>IF(COUNTIF($B$6:$B$20,"Gross Scheduled Rent")&gt;0,SUMIF($B$6:$B$20,"Gross Scheduled Rent",N$6:N$20),SUMIF($B$6:$B$20,"Gross Potential Rent",N$6:N$20)+SUMIF($B$6:$B$20,"Gain / (Loss) to Lease",N$6:N$20))+SUMIF($B$6:$B$20,"Vacancy",N$6:N$20)+SUMIF($B$6:$B$20,"Concessions",N$6:N$20)+SUMIF($B$6:$B$20,"Non-Revenue Units",N$6:N$20)+SUMIF($B$6:$B$20,"Delinquency",N$6:N$20)+SUMIF($B$6:$B$20,"Utility Reimbursements",N$6:N$20)+SUMIF($B$6:$B$20,"Other Income",N$6:N$20)+SUMIF($B$6:$B$20,"Revenue Adjustments",N$6:N$20)</f>
        <v/>
      </c>
      <c r="O22" s="8">
        <f>SUM(C22:N22)</f>
        <v/>
      </c>
      <c r="P22" s="8">
        <f>SUM(L22:N22)</f>
        <v/>
      </c>
    </row>
    <row r="23">
      <c r="A23" s="2" t="inlineStr">
        <is>
          <t>Revenue by month, built from the same category SUMIFs as the rollup. Gross scheduled rent falls back to gross potential rent plus gain/(loss) to lease where the statement did not print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P&amp;L summary</t>
        </is>
      </c>
    </row>
    <row r="2">
      <c r="A2" s="2" t="inlineStr">
        <is>
          <t>Wildflower Crossing — as of 2025-11-12</t>
        </is>
      </c>
    </row>
    <row r="3">
      <c r="A3" s="2" t="inlineStr">
        <is>
          <t>Every category row is a SUMIF over the T-12 Data tab, so the arithmetic is auditable in the workbook rather than pasted in.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Line item</t>
        </is>
      </c>
      <c r="B5" s="4" t="inlineStr">
        <is>
          <t>T-12</t>
        </is>
      </c>
      <c r="C5" s="4" t="inlineStr">
        <is>
          <t>T-3 annualized</t>
        </is>
      </c>
      <c r="D5" s="4" t="inlineStr">
        <is>
          <t>Per unit (T-12)</t>
        </is>
      </c>
      <c r="E5" s="4" t="inlineStr">
        <is>
          <t>% of revenue</t>
        </is>
      </c>
    </row>
    <row r="6">
      <c r="A6" s="9" t="inlineStr">
        <is>
          <t>Gross Potential Rent</t>
        </is>
      </c>
      <c r="B6" s="10">
        <f>IF(COUNTIF('T-12 Data'!$B$6:$B$20,$A6)&gt;0,SUMIF('T-12 Data'!$B$6:$B$20,$A6,'T-12 Data'!$O$6:$O$20),"")</f>
        <v/>
      </c>
      <c r="C6" s="10">
        <f>IF(COUNTIF('T-12 Data'!$B$6:$B$20,$A6)&gt;0,SUMIF('T-12 Data'!$B$6:$B$20,$A6,'T-12 Data'!$P$6:$P$20)*4,"")</f>
        <v/>
      </c>
      <c r="D6" s="10">
        <f>IFERROR(B6/24,"")</f>
        <v/>
      </c>
      <c r="E6" s="11">
        <f>IFERROR(B6/B16,"")</f>
        <v/>
      </c>
    </row>
    <row r="7">
      <c r="A7" s="9" t="inlineStr">
        <is>
          <t>Gain / (Loss) to Lease</t>
        </is>
      </c>
      <c r="B7" s="10">
        <f>IF(COUNTIF('T-12 Data'!$B$6:$B$20,$A7)&gt;0,SUMIF('T-12 Data'!$B$6:$B$20,$A7,'T-12 Data'!$O$6:$O$20),"")</f>
        <v/>
      </c>
      <c r="C7" s="10">
        <f>IF(COUNTIF('T-12 Data'!$B$6:$B$20,$A7)&gt;0,SUMIF('T-12 Data'!$B$6:$B$20,$A7,'T-12 Data'!$P$6:$P$20)*4,"")</f>
        <v/>
      </c>
      <c r="D7" s="10">
        <f>IFERROR(B7/24,"")</f>
        <v/>
      </c>
      <c r="E7" s="11">
        <f>IFERROR(B7/B16,"")</f>
        <v/>
      </c>
    </row>
    <row r="8">
      <c r="A8" s="12" t="inlineStr">
        <is>
          <t>Gross Scheduled Rent</t>
        </is>
      </c>
      <c r="B8" s="13">
        <f>IF(COUNTIF('T-12 Data'!$B$6:$B$20,$A8)&gt;0,SUMIF('T-12 Data'!$B$6:$B$20,$A8,'T-12 Data'!$O$6:$O$20),IF(COUNTIF('T-12 Data'!$B$6:$B$20,$A6)+COUNTIF('T-12 Data'!$B$6:$B$20,$A7)&gt;0,IF(B6="",0,B6)+IF(B7="",0,B7),""))</f>
        <v/>
      </c>
      <c r="C8" s="13">
        <f>IF(COUNTIF('T-12 Data'!$B$6:$B$20,$A8)&gt;0,SUMIF('T-12 Data'!$B$6:$B$20,$A8,'T-12 Data'!$P$6:$P$20)*4,IF(COUNTIF('T-12 Data'!$B$6:$B$20,$A6)+COUNTIF('T-12 Data'!$B$6:$B$20,$A7)&gt;0,IF(C6="",0,C6)+IF(C7="",0,C7),""))</f>
        <v/>
      </c>
      <c r="D8" s="13">
        <f>IFERROR(B8/24,"")</f>
        <v/>
      </c>
      <c r="E8" s="14">
        <f>IFERROR(B8/B16,"")</f>
        <v/>
      </c>
    </row>
    <row r="9">
      <c r="A9" s="9" t="inlineStr">
        <is>
          <t>Vacancy</t>
        </is>
      </c>
      <c r="B9" s="10">
        <f>IF(COUNTIF('T-12 Data'!$B$6:$B$20,$A9)&gt;0,SUMIF('T-12 Data'!$B$6:$B$20,$A9,'T-12 Data'!$O$6:$O$20),"")</f>
        <v/>
      </c>
      <c r="C9" s="10">
        <f>IF(COUNTIF('T-12 Data'!$B$6:$B$20,$A9)&gt;0,SUMIF('T-12 Data'!$B$6:$B$20,$A9,'T-12 Data'!$P$6:$P$20)*4,"")</f>
        <v/>
      </c>
      <c r="D9" s="10">
        <f>IFERROR(B9/24,"")</f>
        <v/>
      </c>
      <c r="E9" s="11">
        <f>IFERROR(B9/B16,"")</f>
        <v/>
      </c>
    </row>
    <row r="10">
      <c r="A10" s="9" t="inlineStr">
        <is>
          <t>Concessions</t>
        </is>
      </c>
      <c r="B10" s="10">
        <f>IF(COUNTIF('T-12 Data'!$B$6:$B$20,$A10)&gt;0,SUMIF('T-12 Data'!$B$6:$B$20,$A10,'T-12 Data'!$O$6:$O$20),"")</f>
        <v/>
      </c>
      <c r="C10" s="10">
        <f>IF(COUNTIF('T-12 Data'!$B$6:$B$20,$A10)&gt;0,SUMIF('T-12 Data'!$B$6:$B$20,$A10,'T-12 Data'!$P$6:$P$20)*4,"")</f>
        <v/>
      </c>
      <c r="D10" s="10">
        <f>IFERROR(B10/24,"")</f>
        <v/>
      </c>
      <c r="E10" s="11">
        <f>IFERROR(B10/B16,"")</f>
        <v/>
      </c>
    </row>
    <row r="11">
      <c r="A11" s="9" t="inlineStr">
        <is>
          <t>Non-Revenue Units</t>
        </is>
      </c>
      <c r="B11" s="10">
        <f>IF(COUNTIF('T-12 Data'!$B$6:$B$20,$A11)&gt;0,SUMIF('T-12 Data'!$B$6:$B$20,$A11,'T-12 Data'!$O$6:$O$20),"")</f>
        <v/>
      </c>
      <c r="C11" s="10">
        <f>IF(COUNTIF('T-12 Data'!$B$6:$B$20,$A11)&gt;0,SUMIF('T-12 Data'!$B$6:$B$20,$A11,'T-12 Data'!$P$6:$P$20)*4,"")</f>
        <v/>
      </c>
      <c r="D11" s="10">
        <f>IFERROR(B11/24,"")</f>
        <v/>
      </c>
      <c r="E11" s="11">
        <f>IFERROR(B11/B16,"")</f>
        <v/>
      </c>
    </row>
    <row r="12">
      <c r="A12" s="9" t="inlineStr">
        <is>
          <t>Delinquency</t>
        </is>
      </c>
      <c r="B12" s="10">
        <f>IF(COUNTIF('T-12 Data'!$B$6:$B$20,$A12)&gt;0,SUMIF('T-12 Data'!$B$6:$B$20,$A12,'T-12 Data'!$O$6:$O$20),"")</f>
        <v/>
      </c>
      <c r="C12" s="10">
        <f>IF(COUNTIF('T-12 Data'!$B$6:$B$20,$A12)&gt;0,SUMIF('T-12 Data'!$B$6:$B$20,$A12,'T-12 Data'!$P$6:$P$20)*4,"")</f>
        <v/>
      </c>
      <c r="D12" s="10">
        <f>IFERROR(B12/24,"")</f>
        <v/>
      </c>
      <c r="E12" s="11">
        <f>IFERROR(B12/B16,"")</f>
        <v/>
      </c>
    </row>
    <row r="13">
      <c r="A13" s="9" t="inlineStr">
        <is>
          <t>Utility Reimbursements</t>
        </is>
      </c>
      <c r="B13" s="10">
        <f>IF(COUNTIF('T-12 Data'!$B$6:$B$20,$A13)&gt;0,SUMIF('T-12 Data'!$B$6:$B$20,$A13,'T-12 Data'!$O$6:$O$20),"")</f>
        <v/>
      </c>
      <c r="C13" s="10">
        <f>IF(COUNTIF('T-12 Data'!$B$6:$B$20,$A13)&gt;0,SUMIF('T-12 Data'!$B$6:$B$20,$A13,'T-12 Data'!$P$6:$P$20)*4,"")</f>
        <v/>
      </c>
      <c r="D13" s="10">
        <f>IFERROR(B13/24,"")</f>
        <v/>
      </c>
      <c r="E13" s="11">
        <f>IFERROR(B13/B16,"")</f>
        <v/>
      </c>
    </row>
    <row r="14">
      <c r="A14" s="9" t="inlineStr">
        <is>
          <t>Other Income</t>
        </is>
      </c>
      <c r="B14" s="10">
        <f>IF(COUNTIF('T-12 Data'!$B$6:$B$20,$A14)&gt;0,SUMIF('T-12 Data'!$B$6:$B$20,$A14,'T-12 Data'!$O$6:$O$20),"")</f>
        <v/>
      </c>
      <c r="C14" s="10">
        <f>IF(COUNTIF('T-12 Data'!$B$6:$B$20,$A14)&gt;0,SUMIF('T-12 Data'!$B$6:$B$20,$A14,'T-12 Data'!$P$6:$P$20)*4,"")</f>
        <v/>
      </c>
      <c r="D14" s="10">
        <f>IFERROR(B14/24,"")</f>
        <v/>
      </c>
      <c r="E14" s="11">
        <f>IFERROR(B14/B16,"")</f>
        <v/>
      </c>
    </row>
    <row r="15">
      <c r="A15" s="9" t="inlineStr">
        <is>
          <t>Revenue Adjustments</t>
        </is>
      </c>
      <c r="B15" s="10">
        <f>IF(COUNTIF('T-12 Data'!$B$6:$B$20,$A15)&gt;0,SUMIF('T-12 Data'!$B$6:$B$20,$A15,'T-12 Data'!$O$6:$O$20),"")</f>
        <v/>
      </c>
      <c r="C15" s="10">
        <f>IF(COUNTIF('T-12 Data'!$B$6:$B$20,$A15)&gt;0,SUMIF('T-12 Data'!$B$6:$B$20,$A15,'T-12 Data'!$P$6:$P$20)*4,"")</f>
        <v/>
      </c>
      <c r="D15" s="10">
        <f>IFERROR(B15/24,"")</f>
        <v/>
      </c>
      <c r="E15" s="11">
        <f>IFERROR(B15/B16,"")</f>
        <v/>
      </c>
    </row>
    <row r="16">
      <c r="A16" s="12" t="inlineStr">
        <is>
          <t>Total Revenue</t>
        </is>
      </c>
      <c r="B16" s="13">
        <f>SUM(B8:B15)</f>
        <v/>
      </c>
      <c r="C16" s="13">
        <f>SUM(C8:C15)</f>
        <v/>
      </c>
      <c r="D16" s="13">
        <f>IFERROR(B16/24,"")</f>
        <v/>
      </c>
      <c r="E16" s="14">
        <f>IFERROR(B16/B16,"")</f>
        <v/>
      </c>
    </row>
    <row r="17">
      <c r="A17" s="9" t="inlineStr">
        <is>
          <t>General and Administrative</t>
        </is>
      </c>
      <c r="B17" s="10">
        <f>IF(COUNTIF('T-12 Data'!$B$6:$B$20,$A17)&gt;0,SUMIF('T-12 Data'!$B$6:$B$20,$A17,'T-12 Data'!$O$6:$O$20),"")</f>
        <v/>
      </c>
      <c r="C17" s="10">
        <f>IF(COUNTIF('T-12 Data'!$B$6:$B$20,$A17)&gt;0,SUMIF('T-12 Data'!$B$6:$B$20,$A17,'T-12 Data'!$P$6:$P$20)*4,"")</f>
        <v/>
      </c>
      <c r="D17" s="10">
        <f>IFERROR(B17/24,"")</f>
        <v/>
      </c>
      <c r="E17" s="11">
        <f>IFERROR(B17/B16,"")</f>
        <v/>
      </c>
    </row>
    <row r="18">
      <c r="A18" s="9" t="inlineStr">
        <is>
          <t>Leasing and Marketing</t>
        </is>
      </c>
      <c r="B18" s="10">
        <f>IF(COUNTIF('T-12 Data'!$B$6:$B$20,$A18)&gt;0,SUMIF('T-12 Data'!$B$6:$B$20,$A18,'T-12 Data'!$O$6:$O$20),"")</f>
        <v/>
      </c>
      <c r="C18" s="10">
        <f>IF(COUNTIF('T-12 Data'!$B$6:$B$20,$A18)&gt;0,SUMIF('T-12 Data'!$B$6:$B$20,$A18,'T-12 Data'!$P$6:$P$20)*4,"")</f>
        <v/>
      </c>
      <c r="D18" s="10">
        <f>IFERROR(B18/24,"")</f>
        <v/>
      </c>
      <c r="E18" s="11">
        <f>IFERROR(B18/B16,"")</f>
        <v/>
      </c>
    </row>
    <row r="19">
      <c r="A19" s="9" t="inlineStr">
        <is>
          <t>Payroll</t>
        </is>
      </c>
      <c r="B19" s="10">
        <f>IF(COUNTIF('T-12 Data'!$B$6:$B$20,$A19)&gt;0,SUMIF('T-12 Data'!$B$6:$B$20,$A19,'T-12 Data'!$O$6:$O$20),"")</f>
        <v/>
      </c>
      <c r="C19" s="10">
        <f>IF(COUNTIF('T-12 Data'!$B$6:$B$20,$A19)&gt;0,SUMIF('T-12 Data'!$B$6:$B$20,$A19,'T-12 Data'!$P$6:$P$20)*4,"")</f>
        <v/>
      </c>
      <c r="D19" s="10">
        <f>IFERROR(B19/24,"")</f>
        <v/>
      </c>
      <c r="E19" s="11">
        <f>IFERROR(B19/B16,"")</f>
        <v/>
      </c>
    </row>
    <row r="20">
      <c r="A20" s="9" t="inlineStr">
        <is>
          <t>Insurance</t>
        </is>
      </c>
      <c r="B20" s="10">
        <f>IF(COUNTIF('T-12 Data'!$B$6:$B$20,$A20)&gt;0,SUMIF('T-12 Data'!$B$6:$B$20,$A20,'T-12 Data'!$O$6:$O$20),"")</f>
        <v/>
      </c>
      <c r="C20" s="10">
        <f>IF(COUNTIF('T-12 Data'!$B$6:$B$20,$A20)&gt;0,SUMIF('T-12 Data'!$B$6:$B$20,$A20,'T-12 Data'!$P$6:$P$20)*4,"")</f>
        <v/>
      </c>
      <c r="D20" s="10">
        <f>IFERROR(B20/24,"")</f>
        <v/>
      </c>
      <c r="E20" s="11">
        <f>IFERROR(B20/B16,"")</f>
        <v/>
      </c>
    </row>
    <row r="21">
      <c r="A21" s="9" t="inlineStr">
        <is>
          <t>Property Taxes</t>
        </is>
      </c>
      <c r="B21" s="10">
        <f>IF(COUNTIF('T-12 Data'!$B$6:$B$20,$A21)&gt;0,SUMIF('T-12 Data'!$B$6:$B$20,$A21,'T-12 Data'!$O$6:$O$20),"")</f>
        <v/>
      </c>
      <c r="C21" s="10">
        <f>IF(COUNTIF('T-12 Data'!$B$6:$B$20,$A21)&gt;0,SUMIF('T-12 Data'!$B$6:$B$20,$A21,'T-12 Data'!$P$6:$P$20)*4,"")</f>
        <v/>
      </c>
      <c r="D21" s="10">
        <f>IFERROR(B21/24,"")</f>
        <v/>
      </c>
      <c r="E21" s="11">
        <f>IFERROR(B21/B16,"")</f>
        <v/>
      </c>
    </row>
    <row r="22">
      <c r="A22" s="9" t="inlineStr">
        <is>
          <t>Legal and Professional</t>
        </is>
      </c>
      <c r="B22" s="10">
        <f>IF(COUNTIF('T-12 Data'!$B$6:$B$20,$A22)&gt;0,SUMIF('T-12 Data'!$B$6:$B$20,$A22,'T-12 Data'!$O$6:$O$20),"")</f>
        <v/>
      </c>
      <c r="C22" s="10">
        <f>IF(COUNTIF('T-12 Data'!$B$6:$B$20,$A22)&gt;0,SUMIF('T-12 Data'!$B$6:$B$20,$A22,'T-12 Data'!$P$6:$P$20)*4,"")</f>
        <v/>
      </c>
      <c r="D22" s="10">
        <f>IFERROR(B22/24,"")</f>
        <v/>
      </c>
      <c r="E22" s="11">
        <f>IFERROR(B22/B16,"")</f>
        <v/>
      </c>
    </row>
    <row r="23">
      <c r="A23" s="9" t="inlineStr">
        <is>
          <t>Management Fee</t>
        </is>
      </c>
      <c r="B23" s="10">
        <f>IF(COUNTIF('T-12 Data'!$B$6:$B$20,$A23)&gt;0,SUMIF('T-12 Data'!$B$6:$B$20,$A23,'T-12 Data'!$O$6:$O$20),"")</f>
        <v/>
      </c>
      <c r="C23" s="10">
        <f>IF(COUNTIF('T-12 Data'!$B$6:$B$20,$A23)&gt;0,SUMIF('T-12 Data'!$B$6:$B$20,$A23,'T-12 Data'!$P$6:$P$20)*4,"")</f>
        <v/>
      </c>
      <c r="D23" s="10">
        <f>IFERROR(B23/24,"")</f>
        <v/>
      </c>
      <c r="E23" s="11">
        <f>IFERROR(B23/B16,"")</f>
        <v/>
      </c>
    </row>
    <row r="24">
      <c r="A24" s="9" t="inlineStr">
        <is>
          <t>Landscaping</t>
        </is>
      </c>
      <c r="B24" s="10">
        <f>IF(COUNTIF('T-12 Data'!$B$6:$B$20,$A24)&gt;0,SUMIF('T-12 Data'!$B$6:$B$20,$A24,'T-12 Data'!$O$6:$O$20),"")</f>
        <v/>
      </c>
      <c r="C24" s="10">
        <f>IF(COUNTIF('T-12 Data'!$B$6:$B$20,$A24)&gt;0,SUMIF('T-12 Data'!$B$6:$B$20,$A24,'T-12 Data'!$P$6:$P$20)*4,"")</f>
        <v/>
      </c>
      <c r="D24" s="10">
        <f>IFERROR(B24/24,"")</f>
        <v/>
      </c>
      <c r="E24" s="11">
        <f>IFERROR(B24/B16,"")</f>
        <v/>
      </c>
    </row>
    <row r="25">
      <c r="A25" s="9" t="inlineStr">
        <is>
          <t>Repairs and Maintenance</t>
        </is>
      </c>
      <c r="B25" s="10">
        <f>IF(COUNTIF('T-12 Data'!$B$6:$B$20,$A25)&gt;0,SUMIF('T-12 Data'!$B$6:$B$20,$A25,'T-12 Data'!$O$6:$O$20),"")</f>
        <v/>
      </c>
      <c r="C25" s="10">
        <f>IF(COUNTIF('T-12 Data'!$B$6:$B$20,$A25)&gt;0,SUMIF('T-12 Data'!$B$6:$B$20,$A25,'T-12 Data'!$P$6:$P$20)*4,"")</f>
        <v/>
      </c>
      <c r="D25" s="10">
        <f>IFERROR(B25/24,"")</f>
        <v/>
      </c>
      <c r="E25" s="11">
        <f>IFERROR(B25/B16,"")</f>
        <v/>
      </c>
    </row>
    <row r="26">
      <c r="A26" s="9" t="inlineStr">
        <is>
          <t>Unit Turns</t>
        </is>
      </c>
      <c r="B26" s="10">
        <f>IF(COUNTIF('T-12 Data'!$B$6:$B$20,$A26)&gt;0,SUMIF('T-12 Data'!$B$6:$B$20,$A26,'T-12 Data'!$O$6:$O$20),"")</f>
        <v/>
      </c>
      <c r="C26" s="10">
        <f>IF(COUNTIF('T-12 Data'!$B$6:$B$20,$A26)&gt;0,SUMIF('T-12 Data'!$B$6:$B$20,$A26,'T-12 Data'!$P$6:$P$20)*4,"")</f>
        <v/>
      </c>
      <c r="D26" s="10">
        <f>IFERROR(B26/24,"")</f>
        <v/>
      </c>
      <c r="E26" s="11">
        <f>IFERROR(B26/B16,"")</f>
        <v/>
      </c>
    </row>
    <row r="27">
      <c r="A27" s="9" t="inlineStr">
        <is>
          <t>Utilities</t>
        </is>
      </c>
      <c r="B27" s="10">
        <f>IF(COUNTIF('T-12 Data'!$B$6:$B$20,$A27)&gt;0,SUMIF('T-12 Data'!$B$6:$B$20,$A27,'T-12 Data'!$O$6:$O$20),"")</f>
        <v/>
      </c>
      <c r="C27" s="10">
        <f>IF(COUNTIF('T-12 Data'!$B$6:$B$20,$A27)&gt;0,SUMIF('T-12 Data'!$B$6:$B$20,$A27,'T-12 Data'!$P$6:$P$20)*4,"")</f>
        <v/>
      </c>
      <c r="D27" s="10">
        <f>IFERROR(B27/24,"")</f>
        <v/>
      </c>
      <c r="E27" s="11">
        <f>IFERROR(B27/B16,"")</f>
        <v/>
      </c>
    </row>
    <row r="28">
      <c r="A28" s="9" t="inlineStr">
        <is>
          <t>Expense Adjustments</t>
        </is>
      </c>
      <c r="B28" s="10">
        <f>IF(COUNTIF('T-12 Data'!$B$6:$B$20,$A28)&gt;0,SUMIF('T-12 Data'!$B$6:$B$20,$A28,'T-12 Data'!$O$6:$O$20),"")</f>
        <v/>
      </c>
      <c r="C28" s="10">
        <f>IF(COUNTIF('T-12 Data'!$B$6:$B$20,$A28)&gt;0,SUMIF('T-12 Data'!$B$6:$B$20,$A28,'T-12 Data'!$P$6:$P$20)*4,"")</f>
        <v/>
      </c>
      <c r="D28" s="10">
        <f>IFERROR(B28/24,"")</f>
        <v/>
      </c>
      <c r="E28" s="11">
        <f>IFERROR(B28/B16,"")</f>
        <v/>
      </c>
    </row>
    <row r="29">
      <c r="A29" s="12" t="inlineStr">
        <is>
          <t>Total Operating Expenses</t>
        </is>
      </c>
      <c r="B29" s="13">
        <f>SUM(B17:B28)</f>
        <v/>
      </c>
      <c r="C29" s="13">
        <f>SUM(C17:C28)</f>
        <v/>
      </c>
      <c r="D29" s="13">
        <f>IFERROR(B29/24,"")</f>
        <v/>
      </c>
      <c r="E29" s="14">
        <f>IFERROR(B29/B16,"")</f>
        <v/>
      </c>
    </row>
    <row r="30">
      <c r="A30" s="12" t="inlineStr">
        <is>
          <t>Net Operating Income</t>
        </is>
      </c>
      <c r="B30" s="13">
        <f>B16-B29</f>
        <v/>
      </c>
      <c r="C30" s="13">
        <f>C16-C29</f>
        <v/>
      </c>
      <c r="D30" s="13">
        <f>IFERROR(B30/24,"")</f>
        <v/>
      </c>
      <c r="E30" s="14">
        <f>IFERROR(B30/B16,"")</f>
        <v/>
      </c>
    </row>
    <row r="32">
      <c r="A32" s="2" t="inlineStr">
        <is>
          <t>Gross scheduled rent basis: gross potential rent + gain/(loss) to lease. Total revenue sums from gross scheduled rent down through revenue adjustments — not from gross potential rent, which would double-count the loss-to-lease line.</t>
        </is>
      </c>
    </row>
    <row r="34">
      <c r="A34" s="15" t="inlineStr">
        <is>
          <t>Other Income — top 5 plus rest</t>
        </is>
      </c>
      <c r="B34" s="15" t="n"/>
      <c r="C34" s="15" t="n"/>
    </row>
    <row r="35">
      <c r="A35" s="4" t="inlineStr">
        <is>
          <t>Line item</t>
        </is>
      </c>
      <c r="B35" s="4" t="inlineStr">
        <is>
          <t>T-12</t>
        </is>
      </c>
      <c r="C35" s="4" t="inlineStr">
        <is>
          <t>T-3 annualized</t>
        </is>
      </c>
    </row>
    <row r="36">
      <c r="A36" s="5" t="inlineStr">
        <is>
          <t>Other Income (4300)</t>
        </is>
      </c>
      <c r="B36" s="6" t="n">
        <v>20958</v>
      </c>
      <c r="C36" s="6" t="n">
        <v>21336</v>
      </c>
    </row>
    <row r="37">
      <c r="A37" s="5" t="inlineStr">
        <is>
          <t>All other other income (0 lines)</t>
        </is>
      </c>
      <c r="B37" s="6" t="n">
        <v>0</v>
      </c>
      <c r="C37" s="6" t="n">
        <v>0</v>
      </c>
    </row>
    <row r="38">
      <c r="A38" s="16" t="inlineStr">
        <is>
          <t>Total other income</t>
        </is>
      </c>
      <c r="B38" s="13">
        <f>'P&amp;L Summary'!B14</f>
        <v/>
      </c>
      <c r="C38" s="13">
        <f>'P&amp;L Summary'!C14</f>
        <v/>
      </c>
    </row>
    <row r="40">
      <c r="A40" s="15" t="inlineStr">
        <is>
          <t>Utility Reimbursements — top 4 plus rest</t>
        </is>
      </c>
      <c r="B40" s="15" t="n"/>
      <c r="C40" s="15" t="n"/>
    </row>
    <row r="41">
      <c r="A41" s="4" t="inlineStr">
        <is>
          <t>Line item</t>
        </is>
      </c>
      <c r="B41" s="4" t="inlineStr">
        <is>
          <t>T-12</t>
        </is>
      </c>
      <c r="C41" s="4" t="inlineStr">
        <is>
          <t>T-3 annualized</t>
        </is>
      </c>
    </row>
    <row r="42">
      <c r="A42" s="5" t="inlineStr">
        <is>
          <t>Utility Reimbursement (4200)</t>
        </is>
      </c>
      <c r="B42" s="6" t="n">
        <v>37125.6</v>
      </c>
      <c r="C42" s="6" t="n">
        <v>37795.2</v>
      </c>
    </row>
    <row r="43">
      <c r="A43" s="5" t="inlineStr">
        <is>
          <t>All other utility reimbursements (0 lines)</t>
        </is>
      </c>
      <c r="B43" s="6" t="n">
        <v>0</v>
      </c>
      <c r="C43" s="6" t="n">
        <v>0</v>
      </c>
    </row>
    <row r="44">
      <c r="A44" s="16" t="inlineStr">
        <is>
          <t>Total utility reimbursements</t>
        </is>
      </c>
      <c r="B44" s="13">
        <f>'P&amp;L Summary'!B13</f>
        <v/>
      </c>
      <c r="C44" s="13">
        <f>'P&amp;L Summary'!C13</f>
        <v/>
      </c>
    </row>
    <row r="46">
      <c r="A46" s="15" t="inlineStr">
        <is>
          <t>Utilities — top 4 plus rest</t>
        </is>
      </c>
      <c r="B46" s="15" t="n"/>
      <c r="C46" s="15" t="n"/>
    </row>
    <row r="47">
      <c r="A47" s="4" t="inlineStr">
        <is>
          <t>Line item</t>
        </is>
      </c>
      <c r="B47" s="4" t="inlineStr">
        <is>
          <t>T-12</t>
        </is>
      </c>
      <c r="C47" s="4" t="inlineStr">
        <is>
          <t>T-3 annualized</t>
        </is>
      </c>
    </row>
    <row r="48">
      <c r="A48" s="5" t="inlineStr">
        <is>
          <t>Utilities (5500)</t>
        </is>
      </c>
      <c r="B48" s="6" t="n">
        <v>43113.6</v>
      </c>
      <c r="C48" s="6" t="n">
        <v>43891.2</v>
      </c>
    </row>
    <row r="49">
      <c r="A49" s="5" t="inlineStr">
        <is>
          <t>All other utilities (0 lines)</t>
        </is>
      </c>
      <c r="B49" s="6" t="n">
        <v>0</v>
      </c>
      <c r="C49" s="6" t="n">
        <v>0</v>
      </c>
    </row>
    <row r="50">
      <c r="A50" s="16" t="inlineStr">
        <is>
          <t>Total utilities</t>
        </is>
      </c>
      <c r="B50" s="13">
        <f>'P&amp;L Summary'!B27</f>
        <v/>
      </c>
      <c r="C50" s="13">
        <f>'P&amp;L Summary'!C27</f>
        <v/>
      </c>
    </row>
    <row r="52">
      <c r="A52" s="15" t="inlineStr">
        <is>
          <t>Trailing T-3 annualized revenue</t>
        </is>
      </c>
      <c r="B52" s="15" t="n"/>
      <c r="C52" s="15" t="n"/>
    </row>
    <row r="53">
      <c r="A53" s="4" t="inlineStr">
        <is>
          <t>Month</t>
        </is>
      </c>
      <c r="B53" s="4" t="inlineStr">
        <is>
          <t>T-3 annualized revenue</t>
        </is>
      </c>
      <c r="C53" s="4" t="inlineStr"/>
    </row>
    <row r="54">
      <c r="A54" s="5" t="inlineStr">
        <is>
          <t>2026-01</t>
        </is>
      </c>
      <c r="B54" s="6" t="n">
        <v>711741.6000000001</v>
      </c>
      <c r="C54" s="17" t="n"/>
    </row>
    <row r="55">
      <c r="A55" s="5" t="inlineStr">
        <is>
          <t>2026-02</t>
        </is>
      </c>
      <c r="B55" s="6" t="n">
        <v>714600</v>
      </c>
      <c r="C55" s="17" t="n"/>
    </row>
    <row r="56">
      <c r="A56" s="5" t="inlineStr">
        <is>
          <t>2026-03</t>
        </is>
      </c>
      <c r="B56" s="6" t="n">
        <v>717458.3999999999</v>
      </c>
      <c r="C56" s="17" t="n"/>
    </row>
    <row r="57">
      <c r="A57" s="5" t="inlineStr">
        <is>
          <t>2026-04</t>
        </is>
      </c>
      <c r="B57" s="6" t="n">
        <v>720316.8</v>
      </c>
      <c r="C57" s="17" t="n"/>
    </row>
    <row r="58">
      <c r="A58" s="5" t="inlineStr">
        <is>
          <t>2026-05</t>
        </is>
      </c>
      <c r="B58" s="6" t="n">
        <v>723175.2</v>
      </c>
      <c r="C58" s="17" t="n"/>
    </row>
    <row r="59">
      <c r="A59" s="5" t="inlineStr">
        <is>
          <t>2026-06</t>
        </is>
      </c>
      <c r="B59" s="6" t="n">
        <v>726033.6000000001</v>
      </c>
      <c r="C59" s="17" t="n"/>
    </row>
    <row r="60">
      <c r="A60" s="2" t="inlineStr">
        <is>
          <t>Each figure is that month plus the two before it, times four — the trend the T-3 cap rate sits at the end of. Fewer than eight months of statement give fewer figures, never a padded zero.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14" customWidth="1" min="5" max="5"/>
    <col width="52" customWidth="1" min="6" max="6"/>
  </cols>
  <sheetData>
    <row r="1">
      <c r="A1" s="1" t="inlineStr">
        <is>
          <t>Checks and pricing</t>
        </is>
      </c>
    </row>
    <row r="2">
      <c r="A2" s="2" t="inlineStr">
        <is>
          <t>Wildflower Crossing — as of 2025-11-12</t>
        </is>
      </c>
    </row>
    <row r="3">
      <c r="A3" s="2" t="inlineStr">
        <is>
          <t>AI Underwriting Pipeline — Sample Outputs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15" t="inlineStr">
        <is>
          <t>Error check</t>
        </is>
      </c>
      <c r="B5" s="15" t="n"/>
      <c r="C5" s="15" t="n"/>
      <c r="D5" s="15" t="n"/>
      <c r="E5" s="15" t="n"/>
      <c r="F5" s="15" t="n"/>
    </row>
    <row r="6">
      <c r="A6" s="4" t="inlineStr">
        <is>
          <t>Check</t>
        </is>
      </c>
      <c r="B6" s="4" t="inlineStr">
        <is>
          <t>Our total</t>
        </is>
      </c>
      <c r="C6" s="4" t="inlineStr">
        <is>
          <t>Source subtotal</t>
        </is>
      </c>
      <c r="D6" s="4" t="inlineStr">
        <is>
          <t>Difference</t>
        </is>
      </c>
      <c r="E6" s="4" t="inlineStr">
        <is>
          <t>Status</t>
        </is>
      </c>
      <c r="F6" s="4" t="inlineStr">
        <is>
          <t>Note</t>
        </is>
      </c>
    </row>
    <row r="7">
      <c r="A7" s="5" t="inlineStr">
        <is>
          <t>Total Revenue</t>
        </is>
      </c>
      <c r="B7" s="6">
        <f>'P&amp;L Summary'!B16</f>
        <v/>
      </c>
      <c r="C7" s="6" t="n">
        <v>713170.8</v>
      </c>
      <c r="D7" s="6">
        <f>IF(C7="","",IF(B7="",0,B7)-C7)</f>
        <v/>
      </c>
      <c r="E7" s="17">
        <f>IF(C7="","NOT CHECKED",IF(ABS(D7)&lt;=1,"OK","REVIEW"))</f>
        <v/>
      </c>
      <c r="F7" s="17" t="n"/>
    </row>
    <row r="8">
      <c r="A8" s="5" t="inlineStr">
        <is>
          <t>Total Operating Expenses</t>
        </is>
      </c>
      <c r="B8" s="6">
        <f>'P&amp;L Summary'!B29</f>
        <v/>
      </c>
      <c r="C8" s="6" t="n">
        <v>392573.28</v>
      </c>
      <c r="D8" s="6">
        <f>IF(C8="","",IF(B8="",0,B8)-C8)</f>
        <v/>
      </c>
      <c r="E8" s="17">
        <f>IF(C8="","NOT CHECKED",IF(ABS(D8)&lt;=1,"OK","REVIEW"))</f>
        <v/>
      </c>
      <c r="F8" s="17" t="n"/>
    </row>
    <row r="9">
      <c r="A9" s="5" t="inlineStr">
        <is>
          <t>Net Operating Income</t>
        </is>
      </c>
      <c r="B9" s="6">
        <f>'P&amp;L Summary'!B30</f>
        <v/>
      </c>
      <c r="C9" s="6" t="n">
        <v>320597.52</v>
      </c>
      <c r="D9" s="6">
        <f>IF(C9="","",IF(B9="",0,B9)-C9)</f>
        <v/>
      </c>
      <c r="E9" s="17">
        <f>IF(C9="","NOT CHECKED",IF(ABS(D9)&lt;=1,"OK","REVIEW"))</f>
        <v/>
      </c>
      <c r="F9" s="17" t="n"/>
    </row>
    <row r="10">
      <c r="A10" s="5" t="inlineStr">
        <is>
          <t>Other Income</t>
        </is>
      </c>
      <c r="B10" s="6">
        <f>'P&amp;L Summary'!B14</f>
        <v/>
      </c>
      <c r="C10" s="17" t="n"/>
      <c r="D10" s="6">
        <f>IF(C10="","",IF(B10="",0,B10)-C10)</f>
        <v/>
      </c>
      <c r="E10" s="17">
        <f>IF(C10="","NOT CHECKED",IF(ABS(D10)&lt;=1,"OK","REVIEW"))</f>
        <v/>
      </c>
      <c r="F10" s="5" t="inlineStr">
        <is>
          <t>The source statement printed no subtotal for this line.</t>
        </is>
      </c>
    </row>
    <row r="11">
      <c r="A11" s="5" t="inlineStr">
        <is>
          <t>Utility Reimbursements</t>
        </is>
      </c>
      <c r="B11" s="6">
        <f>'P&amp;L Summary'!B13</f>
        <v/>
      </c>
      <c r="C11" s="17" t="n"/>
      <c r="D11" s="6">
        <f>IF(C11="","",IF(B11="",0,B11)-C11)</f>
        <v/>
      </c>
      <c r="E11" s="17">
        <f>IF(C11="","NOT CHECKED",IF(ABS(D11)&lt;=1,"OK","REVIEW"))</f>
        <v/>
      </c>
      <c r="F11" s="5" t="inlineStr">
        <is>
          <t>The source statement printed no subtotal for this line.</t>
        </is>
      </c>
    </row>
    <row r="12">
      <c r="A12" s="5" t="inlineStr">
        <is>
          <t>Utilities</t>
        </is>
      </c>
      <c r="B12" s="6">
        <f>'P&amp;L Summary'!B27</f>
        <v/>
      </c>
      <c r="C12" s="17" t="n"/>
      <c r="D12" s="6">
        <f>IF(C12="","",IF(B12="",0,B12)-C12)</f>
        <v/>
      </c>
      <c r="E12" s="17">
        <f>IF(C12="","NOT CHECKED",IF(ABS(D12)&lt;=1,"OK","REVIEW"))</f>
        <v/>
      </c>
      <c r="F12" s="5" t="inlineStr">
        <is>
          <t>The source statement printed no subtotal for this line.</t>
        </is>
      </c>
    </row>
    <row r="14">
      <c r="A14" s="2" t="inlineStr">
        <is>
          <t>A difference over one dollar reads REVIEW rather than quietly passing. A subtotal the source never printed reads NOT CHECKED — not OK, which would claim a tie that was never tested.</t>
        </is>
      </c>
    </row>
    <row r="16">
      <c r="A16" s="15" t="inlineStr">
        <is>
          <t>Statement sanity checks</t>
        </is>
      </c>
      <c r="B16" s="15" t="n"/>
      <c r="C16" s="15" t="n"/>
      <c r="D16" s="15" t="n"/>
      <c r="E16" s="15" t="n"/>
      <c r="F16" s="15" t="n"/>
    </row>
    <row r="17">
      <c r="A17" s="4" t="inlineStr">
        <is>
          <t>Guard</t>
        </is>
      </c>
      <c r="B17" s="4" t="inlineStr">
        <is>
          <t>Status</t>
        </is>
      </c>
      <c r="C17" s="4" t="inlineStr">
        <is>
          <t>Lines named</t>
        </is>
      </c>
      <c r="D17" s="4" t="inlineStr">
        <is>
          <t>Detail</t>
        </is>
      </c>
      <c r="E17" s="4" t="inlineStr"/>
      <c r="F17" s="4" t="inlineStr"/>
    </row>
    <row r="18">
      <c r="A18" s="5" t="inlineStr">
        <is>
          <t>Contra-revenue categories net negative</t>
        </is>
      </c>
      <c r="B18" s="5" t="inlineStr">
        <is>
          <t>OK</t>
        </is>
      </c>
      <c r="C18" s="5" t="inlineStr">
        <is>
          <t>—</t>
        </is>
      </c>
      <c r="D18" s="18" t="inlineStr">
        <is>
          <t>Every contra-revenue category (Vacancy, Concessions, Non-Revenue Units, Delinquency) nets negative, as it must.</t>
        </is>
      </c>
      <c r="E18" s="17" t="n"/>
      <c r="F18" s="17" t="n"/>
    </row>
    <row r="19">
      <c r="A19" s="5" t="inlineStr">
        <is>
          <t>Total operating expenses positive</t>
        </is>
      </c>
      <c r="B19" s="5" t="inlineStr">
        <is>
          <t>OK</t>
        </is>
      </c>
      <c r="C19" s="5" t="inlineStr">
        <is>
          <t>—</t>
        </is>
      </c>
      <c r="D19" s="18" t="inlineStr">
        <is>
          <t>Total operating expenses are $392,573 — positive, as an expense total must be.</t>
        </is>
      </c>
      <c r="E19" s="17" t="n"/>
      <c r="F19" s="17" t="n"/>
    </row>
    <row r="20">
      <c r="A20" s="5" t="inlineStr">
        <is>
          <t>No recovery lines inside expense buckets</t>
        </is>
      </c>
      <c r="B20" s="5" t="inlineStr">
        <is>
          <t>OK</t>
        </is>
      </c>
      <c r="C20" s="5" t="inlineStr">
        <is>
          <t>—</t>
        </is>
      </c>
      <c r="D20" s="18" t="inlineStr">
        <is>
          <t>No negative line inside an expense category carries a recovery word (rebill, reimburse, recover, recapture).</t>
        </is>
      </c>
      <c r="E20" s="17" t="n"/>
      <c r="F20" s="17" t="n"/>
    </row>
    <row r="21">
      <c r="A21" s="5" t="inlineStr">
        <is>
          <t>No subtotal row counted with its members</t>
        </is>
      </c>
      <c r="B21" s="5" t="inlineStr">
        <is>
          <t>OK</t>
        </is>
      </c>
      <c r="C21" s="5" t="inlineStr">
        <is>
          <t>—</t>
        </is>
      </c>
      <c r="D21" s="18" t="inlineStr">
        <is>
          <t>No categorised row named like a subtotal (|value| ≥ $500) equals the sum of one to three rows within 25 lines of it.</t>
        </is>
      </c>
      <c r="E21" s="17" t="n"/>
      <c r="F21" s="17" t="n"/>
    </row>
    <row r="22">
      <c r="A22" s="2" t="inlineStr">
        <is>
          <t>A REVIEW here is a fact about how the statement is printed, flagged for a reader to resolve; the P&amp;L above is the statement as categorised, unflipped.</t>
        </is>
      </c>
    </row>
    <row r="24">
      <c r="A24" s="15" t="inlineStr">
        <is>
          <t>Across the two documents: statement vs rent roll</t>
        </is>
      </c>
      <c r="B24" s="15" t="n"/>
      <c r="C24" s="15" t="n"/>
      <c r="D24" s="15" t="n"/>
      <c r="E24" s="15" t="n"/>
      <c r="F24" s="15" t="n"/>
    </row>
    <row r="25">
      <c r="A25" s="4" t="inlineStr">
        <is>
          <t>Tie</t>
        </is>
      </c>
      <c r="B25" s="4" t="inlineStr">
        <is>
          <t>Statement</t>
        </is>
      </c>
      <c r="C25" s="4" t="inlineStr">
        <is>
          <t>Rent roll</t>
        </is>
      </c>
      <c r="D25" s="4" t="inlineStr">
        <is>
          <t>Gap</t>
        </is>
      </c>
      <c r="E25" s="4" t="inlineStr">
        <is>
          <t>Status</t>
        </is>
      </c>
      <c r="F25" s="4" t="inlineStr">
        <is>
          <t>Basis / why not</t>
        </is>
      </c>
    </row>
    <row r="26">
      <c r="A26" s="5" t="inlineStr">
        <is>
          <t>Gross Potential Rent vs the roll's market rent x 12</t>
        </is>
      </c>
      <c r="B26" s="6" t="n">
        <v>742512</v>
      </c>
      <c r="C26" s="6" t="n">
        <v>723360</v>
      </c>
      <c r="D26" s="19" t="n">
        <v>0.02647644326476443</v>
      </c>
      <c r="E26" s="5" t="inlineStr">
        <is>
          <t>OK</t>
        </is>
      </c>
      <c r="F26" s="5" t="inlineStr">
        <is>
          <t>statement GPR, twelve months; roll market rent, every unit, x 12</t>
        </is>
      </c>
    </row>
    <row r="27">
      <c r="A27" s="5" t="inlineStr">
        <is>
          <t>Total Revenue vs the roll's in-place rent x 12</t>
        </is>
      </c>
      <c r="B27" s="6" t="n">
        <v>713170.8</v>
      </c>
      <c r="C27" s="6" t="n">
        <v>619080</v>
      </c>
      <c r="D27" s="19" t="n">
        <v>0.151984880790851</v>
      </c>
      <c r="E27" s="5" t="inlineStr">
        <is>
          <t>REVIEW</t>
        </is>
      </c>
      <c r="F27" s="5" t="inlineStr">
        <is>
          <t>statement total revenue; roll in-place rent, occupied units, x 12</t>
        </is>
      </c>
    </row>
    <row r="28">
      <c r="A28" s="2" t="inlineStr">
        <is>
          <t>Figures, not formulas — the roll is another workbook. A gap inside 10% reads OK; wider reads REVIEW; a side that is not there reads NOT CHECKED with the reason.</t>
        </is>
      </c>
    </row>
    <row r="30">
      <c r="A30" s="15" t="inlineStr">
        <is>
          <t>Reconciliation</t>
        </is>
      </c>
      <c r="B30" s="15" t="n"/>
      <c r="C30" s="15" t="n"/>
      <c r="D30" s="15" t="n"/>
      <c r="E30" s="15" t="n"/>
      <c r="F30" s="15" t="n"/>
    </row>
    <row r="31">
      <c r="A31" s="20" t="inlineStr">
        <is>
          <t>Verdict</t>
        </is>
      </c>
      <c r="B31" s="20" t="inlineStr">
        <is>
          <t>NOT CHECKED</t>
        </is>
      </c>
      <c r="C31" s="20" t="inlineStr">
        <is>
          <t>Units off by</t>
        </is>
      </c>
      <c r="D31" s="7" t="n"/>
      <c r="E31" s="20" t="inlineStr">
        <is>
          <t>Market rent off by</t>
        </is>
      </c>
      <c r="F31" s="7" t="n"/>
    </row>
    <row r="32">
      <c r="A32" s="2" t="inlineStr">
        <is>
          <t>Unit count (tolerance 0) and the export's stated market-rent total (tolerance $1), plus every duplicate row retaining the in-place lease and no rent-readback mismatch. FAIL on any; NOT CHECKED when the export states no count or no total to tie to; PASS only when everything ran and tied.</t>
        </is>
      </c>
    </row>
    <row r="34">
      <c r="A34" s="15" t="inlineStr">
        <is>
          <t>Rent-roll tie-outs</t>
        </is>
      </c>
      <c r="B34" s="15" t="n"/>
      <c r="C34" s="15" t="n"/>
      <c r="D34" s="15" t="n"/>
      <c r="E34" s="15" t="n"/>
      <c r="F34" s="15" t="n"/>
    </row>
    <row r="35">
      <c r="A35" s="4" t="inlineStr">
        <is>
          <t>Check</t>
        </is>
      </c>
      <c r="B35" s="4" t="inlineStr">
        <is>
          <t>Our calc</t>
        </is>
      </c>
      <c r="C35" s="4" t="inlineStr">
        <is>
          <t>Source</t>
        </is>
      </c>
      <c r="D35" s="4" t="inlineStr">
        <is>
          <t>Difference</t>
        </is>
      </c>
      <c r="E35" s="4" t="inlineStr">
        <is>
          <t>Status</t>
        </is>
      </c>
      <c r="F35" s="4" t="inlineStr">
        <is>
          <t>Note</t>
        </is>
      </c>
    </row>
    <row r="36">
      <c r="A36" s="5" t="inlineStr">
        <is>
          <t>Total units</t>
        </is>
      </c>
      <c r="B36" s="6" t="n">
        <v>24</v>
      </c>
      <c r="C36" s="17" t="n"/>
      <c r="D36" s="17" t="n"/>
      <c r="E36" s="5" t="inlineStr">
        <is>
          <t>NOT CHECKED</t>
        </is>
      </c>
      <c r="F36" s="18" t="inlineStr">
        <is>
          <t>Unit count after de-duplicating rows for units listed twice mid-turnover.</t>
        </is>
      </c>
    </row>
    <row r="37">
      <c r="A37" s="5" t="inlineStr">
        <is>
          <t>Total square feet</t>
        </is>
      </c>
      <c r="B37" s="6" t="n">
        <v>35000</v>
      </c>
      <c r="C37" s="17" t="n"/>
      <c r="D37" s="17" t="n"/>
      <c r="E37" s="5" t="inlineStr">
        <is>
          <t>NOT CHECKED</t>
        </is>
      </c>
      <c r="F37" s="18" t="inlineStr">
        <is>
          <t>This project's own addition — the operator's rent-roll skill has no square-footage tie-out. It earns its place because square footage is what the de-duplication is checked against: dropping the wrong duplicate row changes the total.</t>
        </is>
      </c>
    </row>
    <row r="38">
      <c r="A38" s="5" t="inlineStr">
        <is>
          <t>Occupied units (physical)</t>
        </is>
      </c>
      <c r="B38" s="6" t="n">
        <v>21</v>
      </c>
      <c r="C38" s="17" t="n"/>
      <c r="D38" s="17" t="n"/>
      <c r="E38" s="5" t="inlineStr">
        <is>
          <t>NOT CHECKED</t>
        </is>
      </c>
      <c r="F38" s="18" t="inlineStr">
        <is>
          <t>The source states no per-status unit table, so physical occupancy cannot be tied to it.</t>
        </is>
      </c>
    </row>
    <row r="39">
      <c r="A39" s="5" t="inlineStr">
        <is>
          <t>Occupancy</t>
        </is>
      </c>
      <c r="B39" s="19" t="n">
        <v>0.875</v>
      </c>
      <c r="C39" s="17" t="n"/>
      <c r="D39" s="17" t="n"/>
      <c r="E39" s="5" t="inlineStr">
        <is>
          <t>NOT CHECKED</t>
        </is>
      </c>
      <c r="F39" s="18" t="inlineStr">
        <is>
          <t>PHYSICAL occupancy: 21 of 24 units. Residents on notice count as occupied; down, model and employee units do not. Economic occupancy is a different number and is not this one.</t>
        </is>
      </c>
    </row>
    <row r="40">
      <c r="A40" s="5" t="inlineStr">
        <is>
          <t>Market rent (monthly total)</t>
        </is>
      </c>
      <c r="B40" s="6" t="n">
        <v>60280</v>
      </c>
      <c r="C40" s="17" t="n"/>
      <c r="D40" s="17" t="n"/>
      <c r="E40" s="5" t="inlineStr">
        <is>
          <t>NOT CHECKED</t>
        </is>
      </c>
      <c r="F40" s="18" t="inlineStr">
        <is>
          <t>Validates row COMPLETENESS — 24 units counted once each, none dropped or double-counted. No unit is listed twice here, so there is no row choice to make.</t>
        </is>
      </c>
    </row>
    <row r="41">
      <c r="A41" s="5" t="inlineStr">
        <is>
          <t>In-place rent (monthly total)</t>
        </is>
      </c>
      <c r="B41" s="6" t="n">
        <v>51590</v>
      </c>
      <c r="C41" s="17" t="n"/>
      <c r="D41" s="17" t="n"/>
      <c r="E41" s="5" t="inlineStr">
        <is>
          <t>INFO</t>
        </is>
      </c>
      <c r="F41" s="18" t="inlineStr">
        <is>
          <t>The export states no current-rent total.</t>
        </is>
      </c>
    </row>
    <row r="42">
      <c r="A42" s="5" t="inlineStr">
        <is>
          <t>Duplicate rows: kept the in-place lease</t>
        </is>
      </c>
      <c r="B42" s="17" t="n"/>
      <c r="C42" s="17" t="n"/>
      <c r="D42" s="17" t="n"/>
      <c r="E42" s="5" t="inlineStr">
        <is>
          <t>NOT CHECKED</t>
        </is>
      </c>
      <c r="F42" s="18" t="inlineStr">
        <is>
          <t>The export lists no unit twice, so there is no row choice to make.</t>
        </is>
      </c>
    </row>
    <row r="43">
      <c r="A43" s="5" t="inlineStr">
        <is>
          <t>Occupied units</t>
        </is>
      </c>
      <c r="B43" s="6" t="n">
        <v>21</v>
      </c>
      <c r="C43" s="17" t="n"/>
      <c r="D43" s="17" t="n"/>
      <c r="E43" s="5" t="inlineStr">
        <is>
          <t>INFO</t>
        </is>
      </c>
      <c r="F43" s="18" t="inlineStr">
        <is>
          <t>The numerator above, stated separately so the ratio can be re-derived.</t>
        </is>
      </c>
    </row>
    <row r="45">
      <c r="A45" s="7" t="inlineStr">
        <is>
          <t>0/6 tie-outs OK; 6 NOT CHECKED</t>
        </is>
      </c>
    </row>
    <row r="46">
      <c r="A46" s="2" t="inlineStr">
        <is>
          <t>A total the source export never printed reads NOT CHECKED and stays in the denominator above — excluding it would let a check that could not run flatter the ratio. Occupancy here is PHYSICAL: 21/24 units, physical. Down, model and employee units count as vacant.</t>
        </is>
      </c>
    </row>
    <row r="48">
      <c r="A48" s="15" t="inlineStr">
        <is>
          <t>Duplicate rows — 0 unit(s) listed twice</t>
        </is>
      </c>
      <c r="B48" s="15" t="n"/>
      <c r="C48" s="15" t="n"/>
      <c r="D48" s="15" t="n"/>
      <c r="E48" s="15" t="n"/>
      <c r="F48" s="15" t="n"/>
    </row>
    <row r="49">
      <c r="A49" s="2" t="inlineStr">
        <is>
          <t>The export lists no unit twice.</t>
        </is>
      </c>
    </row>
    <row r="51">
      <c r="A51" s="15" t="inlineStr">
        <is>
          <t>Rent readback — 10 units, sampled reproducibly</t>
        </is>
      </c>
      <c r="B51" s="15" t="n"/>
      <c r="C51" s="15" t="n"/>
      <c r="D51" s="15" t="n"/>
      <c r="E51" s="15" t="n"/>
      <c r="F51" s="15" t="n"/>
    </row>
    <row r="52">
      <c r="A52" s="4" t="inlineStr">
        <is>
          <t>Unit</t>
        </is>
      </c>
      <c r="B52" s="4" t="inlineStr">
        <is>
          <t>Plan</t>
        </is>
      </c>
      <c r="C52" s="4" t="inlineStr">
        <is>
          <t>Our in-place rent</t>
        </is>
      </c>
      <c r="D52" s="4" t="inlineStr">
        <is>
          <t>Source cell value</t>
        </is>
      </c>
      <c r="E52" s="4" t="inlineStr">
        <is>
          <t>Source locator</t>
        </is>
      </c>
      <c r="F52" s="4" t="inlineStr">
        <is>
          <t>Status</t>
        </is>
      </c>
    </row>
    <row r="53">
      <c r="A53" s="5" t="inlineStr">
        <is>
          <t>102</t>
        </is>
      </c>
      <c r="B53" s="5" t="inlineStr">
        <is>
          <t>B2</t>
        </is>
      </c>
      <c r="C53" s="6" t="n">
        <v>2425</v>
      </c>
      <c r="D53" s="6" t="n">
        <v>2425</v>
      </c>
      <c r="E53" s="5" t="inlineStr">
        <is>
          <t>RENTROLL!J5</t>
        </is>
      </c>
      <c r="F53" s="5" t="inlineStr">
        <is>
          <t>OK</t>
        </is>
      </c>
    </row>
    <row r="54">
      <c r="A54" s="5" t="inlineStr">
        <is>
          <t>103</t>
        </is>
      </c>
      <c r="B54" s="5" t="inlineStr">
        <is>
          <t>C3</t>
        </is>
      </c>
      <c r="C54" s="6" t="n">
        <v>2855</v>
      </c>
      <c r="D54" s="6" t="n">
        <v>2855</v>
      </c>
      <c r="E54" s="5" t="inlineStr">
        <is>
          <t>RENTROLL!J6</t>
        </is>
      </c>
      <c r="F54" s="5" t="inlineStr">
        <is>
          <t>OK</t>
        </is>
      </c>
    </row>
    <row r="55">
      <c r="A55" s="5" t="inlineStr">
        <is>
          <t>105</t>
        </is>
      </c>
      <c r="B55" s="5" t="inlineStr">
        <is>
          <t>B2</t>
        </is>
      </c>
      <c r="C55" s="6" t="n">
        <v>2425</v>
      </c>
      <c r="D55" s="6" t="n">
        <v>2425</v>
      </c>
      <c r="E55" s="5" t="inlineStr">
        <is>
          <t>RENTROLL!J8</t>
        </is>
      </c>
      <c r="F55" s="5" t="inlineStr">
        <is>
          <t>OK</t>
        </is>
      </c>
    </row>
    <row r="56">
      <c r="A56" s="5" t="inlineStr">
        <is>
          <t>107</t>
        </is>
      </c>
      <c r="B56" s="5" t="inlineStr">
        <is>
          <t>A1</t>
        </is>
      </c>
      <c r="C56" s="6" t="n">
        <v>2090</v>
      </c>
      <c r="D56" s="6" t="n">
        <v>2090</v>
      </c>
      <c r="E56" s="5" t="inlineStr">
        <is>
          <t>RENTROLL!J10</t>
        </is>
      </c>
      <c r="F56" s="5" t="inlineStr">
        <is>
          <t>OK</t>
        </is>
      </c>
    </row>
    <row r="57">
      <c r="A57" s="5" t="inlineStr">
        <is>
          <t>109</t>
        </is>
      </c>
      <c r="B57" s="5" t="inlineStr">
        <is>
          <t>C3</t>
        </is>
      </c>
      <c r="C57" s="6" t="n">
        <v>2855</v>
      </c>
      <c r="D57" s="6" t="n">
        <v>2855</v>
      </c>
      <c r="E57" s="5" t="inlineStr">
        <is>
          <t>RENTROLL!J12</t>
        </is>
      </c>
      <c r="F57" s="5" t="inlineStr">
        <is>
          <t>OK</t>
        </is>
      </c>
    </row>
    <row r="58">
      <c r="A58" s="5" t="inlineStr">
        <is>
          <t>113</t>
        </is>
      </c>
      <c r="B58" s="5" t="inlineStr">
        <is>
          <t>A1</t>
        </is>
      </c>
      <c r="C58" s="6" t="n">
        <v>2090</v>
      </c>
      <c r="D58" s="6" t="n">
        <v>2090</v>
      </c>
      <c r="E58" s="5" t="inlineStr">
        <is>
          <t>RENTROLL!J16</t>
        </is>
      </c>
      <c r="F58" s="5" t="inlineStr">
        <is>
          <t>OK</t>
        </is>
      </c>
    </row>
    <row r="59">
      <c r="A59" s="5" t="inlineStr">
        <is>
          <t>115</t>
        </is>
      </c>
      <c r="B59" s="5" t="inlineStr">
        <is>
          <t>C3</t>
        </is>
      </c>
      <c r="C59" s="6" t="n">
        <v>2855</v>
      </c>
      <c r="D59" s="6" t="n">
        <v>2855</v>
      </c>
      <c r="E59" s="5" t="inlineStr">
        <is>
          <t>RENTROLL!J18</t>
        </is>
      </c>
      <c r="F59" s="5" t="inlineStr">
        <is>
          <t>OK</t>
        </is>
      </c>
    </row>
    <row r="60">
      <c r="A60" s="5" t="inlineStr">
        <is>
          <t>116</t>
        </is>
      </c>
      <c r="B60" s="5" t="inlineStr">
        <is>
          <t>A1</t>
        </is>
      </c>
      <c r="C60" s="6" t="n">
        <v>2090</v>
      </c>
      <c r="D60" s="6" t="n">
        <v>2090</v>
      </c>
      <c r="E60" s="5" t="inlineStr">
        <is>
          <t>RENTROLL!J19</t>
        </is>
      </c>
      <c r="F60" s="5" t="inlineStr">
        <is>
          <t>OK</t>
        </is>
      </c>
    </row>
    <row r="61">
      <c r="A61" s="5" t="inlineStr">
        <is>
          <t>118</t>
        </is>
      </c>
      <c r="B61" s="5" t="inlineStr">
        <is>
          <t>C3</t>
        </is>
      </c>
      <c r="C61" s="6" t="n">
        <v>2855</v>
      </c>
      <c r="D61" s="6" t="n">
        <v>2855</v>
      </c>
      <c r="E61" s="5" t="inlineStr">
        <is>
          <t>RENTROLL!J21</t>
        </is>
      </c>
      <c r="F61" s="5" t="inlineStr">
        <is>
          <t>OK</t>
        </is>
      </c>
    </row>
    <row r="62">
      <c r="A62" s="5" t="inlineStr">
        <is>
          <t>123</t>
        </is>
      </c>
      <c r="B62" s="5" t="inlineStr">
        <is>
          <t>B2</t>
        </is>
      </c>
      <c r="C62" s="6" t="n">
        <v>2425</v>
      </c>
      <c r="D62" s="6" t="n">
        <v>2425</v>
      </c>
      <c r="E62" s="5" t="inlineStr">
        <is>
          <t>RENTROLL!J26</t>
        </is>
      </c>
      <c r="F62" s="5" t="inlineStr">
        <is>
          <t>OK</t>
        </is>
      </c>
    </row>
    <row r="64">
      <c r="A64" s="7" t="inlineStr">
        <is>
          <t>10 of 10 match within $0.50. Sample seeded from the roll's as-of date (2025-11-12|24), so the same roll always checks the same units and a reviewer re-running this sees these rows.</t>
        </is>
      </c>
    </row>
    <row r="65" ht="34" customHeight="1">
      <c r="A65" s="21" t="inlineStr">
        <is>
          <t>Both sides of the readback read the same rent column, so it validates TRANSCRIPTION — that the number was carried across correctly — and cannot detect the wrong column having been chosen in the first place. The column choice is evidenced in the audit trail instead.</t>
        </is>
      </c>
    </row>
    <row r="67">
      <c r="A67" s="15" t="inlineStr">
        <is>
          <t>Pricing and cap rate</t>
        </is>
      </c>
      <c r="B67" s="15" t="n"/>
      <c r="C67" s="15" t="n"/>
      <c r="D67" s="15" t="n"/>
      <c r="E67" s="15" t="n"/>
      <c r="F67" s="15" t="n"/>
    </row>
    <row r="68">
      <c r="A68" s="5" t="inlineStr">
        <is>
          <t>Price per unit</t>
        </is>
      </c>
      <c r="B68" s="6" t="n">
        <v>215000</v>
      </c>
      <c r="C68" s="21" t="inlineStr">
        <is>
          <t>Pricing is as stated in the uploaded documents or the notes box, not a market opinion.</t>
        </is>
      </c>
    </row>
    <row r="69">
      <c r="A69" s="5" t="inlineStr">
        <is>
          <t>Unit count</t>
        </is>
      </c>
      <c r="B69" s="6" t="n">
        <v>24</v>
      </c>
    </row>
    <row r="70">
      <c r="A70" s="5" t="inlineStr">
        <is>
          <t>Total purchase price</t>
        </is>
      </c>
      <c r="B70" s="6">
        <f>B68*B69</f>
        <v/>
      </c>
    </row>
    <row r="72">
      <c r="A72" s="5" t="inlineStr">
        <is>
          <t>T-12 revenue</t>
        </is>
      </c>
      <c r="B72" s="6">
        <f>'P&amp;L Summary'!B16</f>
        <v/>
      </c>
    </row>
    <row r="73">
      <c r="A73" s="5" t="inlineStr">
        <is>
          <t>T-12 operating expenses</t>
        </is>
      </c>
      <c r="B73" s="6">
        <f>'P&amp;L Summary'!B29</f>
        <v/>
      </c>
    </row>
    <row r="74">
      <c r="A74" s="5" t="inlineStr">
        <is>
          <t>T-12 net operating income</t>
        </is>
      </c>
      <c r="B74" s="6">
        <f>'P&amp;L Summary'!B30</f>
        <v/>
      </c>
    </row>
    <row r="75">
      <c r="A75" s="5" t="inlineStr">
        <is>
          <t>T-12 cap rate</t>
        </is>
      </c>
      <c r="B75" s="22">
        <f>IFERROR(B74/B70,"")</f>
        <v/>
      </c>
    </row>
    <row r="77">
      <c r="A77" s="5" t="inlineStr">
        <is>
          <t>T-3 annualized revenue</t>
        </is>
      </c>
      <c r="B77" s="6">
        <f>'P&amp;L Summary'!C16</f>
        <v/>
      </c>
    </row>
    <row r="78">
      <c r="A78" s="5" t="inlineStr">
        <is>
          <t>T-3 annualized operating expenses</t>
        </is>
      </c>
      <c r="B78" s="6">
        <f>'P&amp;L Summary'!C29</f>
        <v/>
      </c>
    </row>
    <row r="79">
      <c r="A79" s="5" t="inlineStr">
        <is>
          <t>T-3 annualized net operating income</t>
        </is>
      </c>
      <c r="B79" s="6">
        <f>'P&amp;L Summary'!C30</f>
        <v/>
      </c>
    </row>
    <row r="80">
      <c r="A80" s="5" t="inlineStr">
        <is>
          <t>T-3 annualized cap rate</t>
        </is>
      </c>
      <c r="B80" s="22">
        <f>IFERROR(B79/B70,"")</f>
        <v/>
      </c>
    </row>
    <row r="82">
      <c r="A82" s="15" t="inlineStr">
        <is>
          <t>Revenue trend</t>
        </is>
      </c>
      <c r="B82" s="15" t="n"/>
      <c r="C82" s="15" t="n"/>
      <c r="D82" s="15" t="n"/>
      <c r="E82" s="15" t="n"/>
      <c r="F82" s="15" t="n"/>
    </row>
    <row r="83">
      <c r="A83" s="5" t="inlineStr">
        <is>
          <t>T-12 revenue</t>
        </is>
      </c>
      <c r="B83" s="6">
        <f>'P&amp;L Summary'!B16</f>
        <v/>
      </c>
    </row>
    <row r="84">
      <c r="A84" s="5" t="inlineStr">
        <is>
          <t>T-6 revenue (annualized)</t>
        </is>
      </c>
      <c r="B84" s="6">
        <f>SUM('T-12 Data'!I22:N22)*2</f>
        <v/>
      </c>
      <c r="C84" s="21" t="inlineStr">
        <is>
          <t>Trailing six months times two, off the T-12 Data tab's computed revenue row.</t>
        </is>
      </c>
    </row>
    <row r="85">
      <c r="A85" s="5" t="inlineStr">
        <is>
          <t>T-3 revenue (annualized)</t>
        </is>
      </c>
      <c r="B85" s="6">
        <f>'P&amp;L Summary'!C16</f>
        <v/>
      </c>
    </row>
    <row r="86">
      <c r="A86" s="5" t="inlineStr">
        <is>
          <t>T-3 versus T-12</t>
        </is>
      </c>
      <c r="B86" s="19">
        <f>IFERROR(B85/B72-1,"")</f>
        <v/>
      </c>
      <c r="C86" s="21" t="inlineStr">
        <is>
          <t>Positive means the trailing three months are running ahead of the year.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6" customWidth="1" min="4" max="4"/>
    <col width="11" customWidth="1" min="5" max="5"/>
    <col width="34" customWidth="1" min="6" max="6"/>
    <col width="62" customWidth="1" min="7" max="7"/>
  </cols>
  <sheetData>
    <row r="1">
      <c r="A1" s="1" t="inlineStr">
        <is>
          <t>Audit trail</t>
        </is>
      </c>
    </row>
    <row r="2">
      <c r="A2" s="2" t="inlineStr">
        <is>
          <t>Wildflower Crossing — as of 2025-11-12</t>
        </is>
      </c>
    </row>
    <row r="3">
      <c r="A3" s="2" t="inlineStr">
        <is>
          <t>T-12 data, the P&amp;L rollup and pricing. Every value below names the document it came from and where in it. A derived value names the values it was built from — one that could not would not have passed validation.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7" t="inlineStr">
        <is>
          <t>Stamped values in this workbook</t>
        </is>
      </c>
      <c r="B5" s="10" t="n">
        <v>6</v>
      </c>
    </row>
    <row r="6">
      <c r="A6" s="7" t="inlineStr">
        <is>
          <t>Coverage of the required set</t>
        </is>
      </c>
      <c r="B6" t="inlineStr">
        <is>
          <t>52/52 (100%)</t>
        </is>
      </c>
    </row>
    <row r="8">
      <c r="A8" s="4" t="inlineStr">
        <is>
          <t>Value</t>
        </is>
      </c>
      <c r="B8" s="4" t="inlineStr">
        <is>
          <t>Value as published</t>
        </is>
      </c>
      <c r="C8" s="4" t="inlineStr">
        <is>
          <t>Source document</t>
        </is>
      </c>
      <c r="D8" s="4" t="inlineStr">
        <is>
          <t>Where in it</t>
        </is>
      </c>
      <c r="E8" s="4" t="inlineStr">
        <is>
          <t>How</t>
        </is>
      </c>
      <c r="F8" s="4" t="inlineStr">
        <is>
          <t>Built from</t>
        </is>
      </c>
      <c r="G8" s="4" t="inlineStr">
        <is>
          <t>Supporting quote / note</t>
        </is>
      </c>
    </row>
    <row r="9">
      <c r="A9" s="23" t="inlineStr">
        <is>
          <t>pricing.document_price_per_unit</t>
        </is>
      </c>
      <c r="B9" s="5" t="inlineStr">
        <is>
          <t>308,333.33</t>
        </is>
      </c>
      <c r="C9" s="5" t="inlineStr">
        <is>
          <t>Wildflower Crossing Offering Memorandum.pdf</t>
        </is>
      </c>
      <c r="D9" s="5" t="inlineStr">
        <is>
          <t>p.1</t>
        </is>
      </c>
      <c r="E9" s="5" t="inlineStr">
        <is>
          <t>derived</t>
        </is>
      </c>
      <c r="F9" s="5" t="inlineStr">
        <is>
          <t>summary.pricing_guidance, rent_roll.units</t>
        </is>
      </c>
      <c r="G9" s="18" t="inlineStr">
        <is>
          <t>Derived from the stated total and the rent roll's 24 units: the document states a total price of $7,400,000, the uploaded rent roll counts 24 units, and this is that total divided by that count. The document did not state a per-unit price.</t>
        </is>
      </c>
    </row>
    <row r="10">
      <c r="A10" s="23" t="inlineStr">
        <is>
          <t>pricing.price_per_unit</t>
        </is>
      </c>
      <c r="B10" s="5" t="inlineStr">
        <is>
          <t>215,000</t>
        </is>
      </c>
      <c r="C10" s="5" t="inlineStr">
        <is>
          <t>The upload form's price field</t>
        </is>
      </c>
      <c r="D10" s="5" t="inlineStr">
        <is>
          <t>—</t>
        </is>
      </c>
      <c r="E10" s="5" t="inlineStr">
        <is>
          <t>read</t>
        </is>
      </c>
      <c r="F10" s="17" t="n"/>
      <c r="G10" s="18" t="inlineStr">
        <is>
          <t>The purchase price per unit the visitor entered, inside the sale-price band. It outranks a price in the notes box or the memorandum.</t>
        </is>
      </c>
    </row>
    <row r="11">
      <c r="A11" s="23" t="inlineStr">
        <is>
          <t>pricing.units_total</t>
        </is>
      </c>
      <c r="B11" s="5" t="inlineStr">
        <is>
          <t>24</t>
        </is>
      </c>
      <c r="C11" s="5" t="inlineStr">
        <is>
          <t>Wildflower Crossing Rent Roll.xlsx</t>
        </is>
      </c>
      <c r="D11" s="5" t="inlineStr">
        <is>
          <t>—</t>
        </is>
      </c>
      <c r="E11" s="5" t="inlineStr">
        <is>
          <t>derived</t>
        </is>
      </c>
      <c r="F11" s="5" t="inlineStr">
        <is>
          <t>summary.units_total</t>
        </is>
      </c>
      <c r="G11" s="18" t="inlineStr">
        <is>
          <t>The same count the summary carries, counted from the rows of the uploaded rent roll.</t>
        </is>
      </c>
    </row>
    <row r="12">
      <c r="A12" s="23" t="inlineStr">
        <is>
          <t>t12.month_labels</t>
        </is>
      </c>
      <c r="B12" s="5" t="inlineStr">
        <is>
          <t>12 entries</t>
        </is>
      </c>
      <c r="C12" s="5" t="inlineStr">
        <is>
          <t>Wildflower Crossing T-12.xlsx</t>
        </is>
      </c>
      <c r="D12" s="5" t="inlineStr">
        <is>
          <t>statement</t>
        </is>
      </c>
      <c r="E12" s="5" t="inlineStr">
        <is>
          <t>read</t>
        </is>
      </c>
      <c r="F12" s="17" t="n"/>
      <c r="G12" s="18" t="inlineStr">
        <is>
          <t>Read from the uploaded statement.</t>
        </is>
      </c>
    </row>
    <row r="13">
      <c r="A13" s="23" t="inlineStr">
        <is>
          <t>t12.source_subtotals</t>
        </is>
      </c>
      <c r="B13" s="5" t="inlineStr">
        <is>
          <t>3 keys</t>
        </is>
      </c>
      <c r="C13" s="5" t="inlineStr">
        <is>
          <t>Wildflower Crossing T-12.xlsx</t>
        </is>
      </c>
      <c r="D13" s="5" t="inlineStr">
        <is>
          <t>header block</t>
        </is>
      </c>
      <c r="E13" s="5" t="inlineStr">
        <is>
          <t>read</t>
        </is>
      </c>
      <c r="F13" s="17" t="n"/>
      <c r="G13" s="24" t="n"/>
    </row>
    <row r="14">
      <c r="A14" s="23" t="inlineStr">
        <is>
          <t>t12.units</t>
        </is>
      </c>
      <c r="B14" s="5" t="inlineStr">
        <is>
          <t>24</t>
        </is>
      </c>
      <c r="C14" s="5" t="inlineStr">
        <is>
          <t>Wildflower Crossing T-12.xlsx</t>
        </is>
      </c>
      <c r="D14" s="5" t="inlineStr">
        <is>
          <t>statement</t>
        </is>
      </c>
      <c r="E14" s="5" t="inlineStr">
        <is>
          <t>read</t>
        </is>
      </c>
      <c r="F14" s="17" t="n"/>
      <c r="G14" s="18" t="inlineStr">
        <is>
          <t>Read from the uploaded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 Underwriting Pipeline</dc:creator>
  <dcterms:created xsi:type="dcterms:W3CDTF">2026-10-21T00:00:00Z</dcterms:created>
  <dcterms:modified xsi:type="dcterms:W3CDTF">2026-10-21T00:00:00Z</dcterms:modified>
  <cp:lastModifiedBy>AI Underwriting Pipeline</cp:lastModifiedBy>
</cp:coreProperties>
</file>